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hahat\OneDrive\Desktop\"/>
    </mc:Choice>
  </mc:AlternateContent>
  <xr:revisionPtr revIDLastSave="0" documentId="13_ncr:1_{9BAB0A52-5876-4742-8DAD-B2D6F657552A}" xr6:coauthVersionLast="47" xr6:coauthVersionMax="47" xr10:uidLastSave="{00000000-0000-0000-0000-000000000000}"/>
  <bookViews>
    <workbookView xWindow="-110" yWindow="-110" windowWidth="19420" windowHeight="10300" firstSheet="1" activeTab="1" xr2:uid="{2C93B070-C07A-41A8-AC6F-1C01A8D5E9F1}"/>
  </bookViews>
  <sheets>
    <sheet name="Pivot report" sheetId="1" r:id="rId1"/>
    <sheet name="Dashboard" sheetId="2" r:id="rId2"/>
    <sheet name="satisfaction score of daily tre" sheetId="5" r:id="rId3"/>
    <sheet name="Avg wait time daily trend" sheetId="4" r:id="rId4"/>
    <sheet name="Daily ER No of Patient" sheetId="3" r:id="rId5"/>
  </sheets>
  <definedNames>
    <definedName name="Slicer_date__Month">#N/A</definedName>
    <definedName name="Slicer_date__Year">#N/A</definedName>
  </definedNames>
  <calcPr calcId="191029"/>
  <pivotCaches>
    <pivotCache cacheId="553" r:id="rId6"/>
    <pivotCache cacheId="556" r:id="rId7"/>
    <pivotCache cacheId="559" r:id="rId8"/>
    <pivotCache cacheId="562" r:id="rId9"/>
    <pivotCache cacheId="565" r:id="rId10"/>
    <pivotCache cacheId="568" r:id="rId11"/>
    <pivotCache cacheId="571" r:id="rId12"/>
    <pivotCache cacheId="574" r:id="rId13"/>
    <pivotCache cacheId="577" r:id="rId14"/>
    <pivotCache cacheId="580" r:id="rId15"/>
    <pivotCache cacheId="583" r:id="rId16"/>
    <pivotCache cacheId="586" r:id="rId17"/>
  </pivotCaches>
  <extLst>
    <ext xmlns:x14="http://schemas.microsoft.com/office/spreadsheetml/2009/9/main" uri="{876F7934-8845-4945-9796-88D515C7AA90}">
      <x14:pivotCaches>
        <pivotCache cacheId="33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1_16872fea-824a-47eb-aa9c-a675c6377c54" name="Query1" connection="Query - calender_table"/>
          <x15:modelTable id="Hospital Emergency Room Data_e0d50f4f-7373-432b-8b0c-2522142e16f0" name="Hospital Emergency Room Data" connection="Query - Hospital Emergency Room Data"/>
        </x15:modelTables>
        <x15:modelRelationships>
          <x15:modelRelationship fromTable="Hospital Emergency Room Data" fromColumn="Patient Admission Date" toTable="Query1" toColumn="date"/>
        </x15:modelRelationships>
        <x15:extLst>
          <ext xmlns:x16="http://schemas.microsoft.com/office/spreadsheetml/2014/11/main" uri="{9835A34E-60A6-4A7C-AAB8-D5F71C897F49}">
            <x16:modelTimeGroupings>
              <x16:modelTimeGrouping tableName="Query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A92D08-09EB-46AC-AEA2-5F8A9908806A}" name="Query - calender_table" description="Connection to the 'calender_table' query in the workbook." type="100" refreshedVersion="8" minRefreshableVersion="5">
    <extLst>
      <ext xmlns:x15="http://schemas.microsoft.com/office/spreadsheetml/2010/11/main" uri="{DE250136-89BD-433C-8126-D09CA5730AF9}">
        <x15:connection id="25c73007-5282-4601-9341-921a5494d239">
          <x15:oledbPr connection="Provider=Microsoft.Mashup.OleDb.1;Data Source=$Workbook$;Location=calender_table;Extended Properties=&quot;&quot;">
            <x15:dbTables>
              <x15:dbTable name="calender_table"/>
            </x15:dbTables>
          </x15:oledbPr>
        </x15:connection>
      </ext>
    </extLst>
  </connection>
  <connection id="2" xr16:uid="{28022E5A-8DC0-4AF6-9AEB-15557B2ACEA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52d65cf-5f2b-4696-93ff-38ce5e9e5e5d"/>
      </ext>
    </extLst>
  </connection>
  <connection id="3" xr16:uid="{8485437E-1EBF-4276-8449-7B2506FEB06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<sst xmlns="http://schemas.openxmlformats.org/spreadsheetml/2006/main" count="158" uniqueCount="75">
  <si>
    <t>Distinct Count of Patient Id</t>
  </si>
  <si>
    <t>No of patient</t>
  </si>
  <si>
    <t>Average of Patient Waittime</t>
  </si>
  <si>
    <t>Row Labels</t>
  </si>
  <si>
    <t>Grand Total</t>
  </si>
  <si>
    <t>Average of Patient Satisfaction Score</t>
  </si>
  <si>
    <t>Daily Trends of no. of patients</t>
  </si>
  <si>
    <t>Average Waiting time</t>
  </si>
  <si>
    <t>Satisfaction Score Daily Trend</t>
  </si>
  <si>
    <t>Count of Patient Admission Flag</t>
  </si>
  <si>
    <t>admitted</t>
  </si>
  <si>
    <t>not admitted</t>
  </si>
  <si>
    <t>Count of Patient Admission Flag2</t>
  </si>
  <si>
    <t>%Status</t>
  </si>
  <si>
    <t>Charts</t>
  </si>
  <si>
    <t>Admission Status</t>
  </si>
  <si>
    <t>Patients</t>
  </si>
  <si>
    <t>0-09</t>
  </si>
  <si>
    <t>10-19</t>
  </si>
  <si>
    <t>20-29</t>
  </si>
  <si>
    <t>30-39</t>
  </si>
  <si>
    <t>40-49</t>
  </si>
  <si>
    <t>50-59</t>
  </si>
  <si>
    <t>60-69</t>
  </si>
  <si>
    <t>70-79</t>
  </si>
  <si>
    <t>Count of Age Group</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</si>
  <si>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</si>
  <si>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</si>
  <si>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</si>
  <si>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</si>
  <si>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</si>
  <si>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</si>
  <si>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</si>
  <si>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</si>
  <si>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</si>
  <si>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</si>
  <si>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</si>
  <si>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</si>
  <si>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</si>
  <si>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</si>
  <si>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</si>
  <si>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</si>
  <si>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</si>
  <si>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</si>
  <si>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</si>
  <si>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</si>
  <si>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</si>
  <si>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</si>
  <si>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</si>
  <si>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</si>
  <si>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</si>
  <si>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</si>
  <si>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</si>
  <si>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</si>
  <si>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</si>
  <si>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</si>
  <si>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</si>
  <si>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patient wait time</t>
  </si>
  <si>
    <t>delay</t>
  </si>
  <si>
    <t>ontime</t>
  </si>
  <si>
    <t>Count of Patient attend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</si>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</sst>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6"/>
      <color theme="1"/>
      <name val="Calisto MT"/>
      <family val="2"/>
    </font>
    <font>
      <sz val="16"/>
      <color rgb="FFFF0000"/>
      <name val="Calisto MT"/>
      <family val="2"/>
    </font>
    <font>
      <b/>
      <sz val="11"/>
      <color rgb="FF000000"/>
      <name val="Bell MT"/>
      <family val="1"/>
    </font>
  </fonts>
  <fills count="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3" borderId="0" xfId="0" applyFill="1"/>
    <xf numFmtId="2" fontId="0" fillId="0" borderId="0" xfId="0" applyNumberFormat="1"/>
    <xf numFmtId="10" fontId="0" fillId="0" borderId="0" xfId="0" applyNumberFormat="1"/>
    <xf numFmtId="0" fontId="0" fillId="4" borderId="0" xfId="0" applyFill="1"/>
    <xf numFmtId="0" fontId="0" fillId="5" borderId="0" xfId="0" applyFill="1"/>
    <xf numFmtId="10" fontId="0" fillId="5" borderId="0" xfId="0" applyNumberFormat="1" applyFill="1"/>
    <xf numFmtId="0" fontId="0" fillId="0" borderId="0" xfId="0" applyNumberFormat="1"/>
    <xf numFmtId="0" fontId="0" fillId="4" borderId="0" xfId="0" applyFill="1" applyAlignment="1">
      <alignment horizontal="center"/>
    </xf>
    <xf numFmtId="0" fontId="2" fillId="0" borderId="0" xfId="0" applyFont="1" applyAlignment="1">
      <alignment horizontal="center" vertical="center"/>
    </xf>
  </cellXfs>
  <cellStyles count="1">
    <cellStyle name="Normal" xfId="0" builtinId="0"/>
  </cellStyles>
  <dxfs count="9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D8C2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8108259549794842E-2"/>
              <c:y val="0"/>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dLbl>
          <c:idx val="0"/>
          <c:layout>
            <c:manualLayout>
              <c:x val="4.25363620920831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A2C3B7-B8B7-4E49-9065-E653A3642825}" type="CELLRANGE">
                  <a:rPr lang="en-US"/>
                  <a:pPr>
                    <a:defRPr/>
                  </a:pPr>
                  <a:t>[CELLRANGE]</a:t>
                </a:fld>
                <a:r>
                  <a:rPr lang="en-US" baseline="0"/>
                  <a:t>, </a:t>
                </a:r>
                <a:fld id="{3EB728EF-796F-4209-9A63-21F864148C7D}"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accent1"/>
          </a:solidFill>
          <a:ln>
            <a:noFill/>
          </a:ln>
          <a:effectLst/>
        </c:spPr>
        <c:dLbl>
          <c:idx val="0"/>
          <c:layout>
            <c:manualLayout>
              <c:x val="2.2865846240687483E-2"/>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C7474EA-0F4B-43EB-BC21-84EFC0445E6F}" type="CELLRANGE">
                  <a:rPr lang="en-US"/>
                  <a:pPr>
                    <a:defRPr/>
                  </a:pPr>
                  <a:t>[CELLRANGE]</a:t>
                </a:fld>
                <a:r>
                  <a:rPr lang="en-US" baseline="0"/>
                  <a:t>, </a:t>
                </a:r>
                <a:fld id="{FD14226E-56AE-456E-9490-FFD41D01769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layout>
            <c:manualLayout>
              <c:x val="3.2373474615193715E-2"/>
              <c:y val="2.529175130441709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629610-D6FA-423B-AA0C-B161293E53A4}" type="CELLRANGE">
                  <a:rPr lang="en-US"/>
                  <a:pPr>
                    <a:defRPr/>
                  </a:pPr>
                  <a:t>[CELLRANGE]</a:t>
                </a:fld>
                <a:r>
                  <a:rPr lang="en-US" baseline="0"/>
                  <a:t>, </a:t>
                </a:r>
                <a:fld id="{4A672342-60F0-410F-9592-12B1150295B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3.2802306813192857E-2"/>
          <c:y val="6.9599122191062693E-2"/>
          <c:w val="0.86191594699206908"/>
          <c:h val="0.84150152379221543"/>
        </c:manualLayout>
      </c:layout>
      <c:barChart>
        <c:barDir val="bar"/>
        <c:grouping val="clustered"/>
        <c:varyColors val="0"/>
        <c:ser>
          <c:idx val="0"/>
          <c:order val="0"/>
          <c:tx>
            <c:strRef>
              <c:f>'Pivot report'!$C$16:$C$17</c:f>
              <c:strCache>
                <c:ptCount val="1"/>
                <c:pt idx="0">
                  <c:v>Count of Patient Admission Flag</c:v>
                </c:pt>
              </c:strCache>
            </c:strRef>
          </c:tx>
          <c:spPr>
            <a:solidFill>
              <a:schemeClr val="accent1"/>
            </a:solidFill>
            <a:ln>
              <a:noFill/>
            </a:ln>
            <a:effectLst/>
          </c:spPr>
          <c:invertIfNegative val="0"/>
          <c:dLbls>
            <c:dLbl>
              <c:idx val="0"/>
              <c:layout>
                <c:manualLayout>
                  <c:x val="3.2373474615193715E-2"/>
                  <c:y val="2.5291751304417093E-2"/>
                </c:manualLayout>
              </c:layout>
              <c:tx>
                <c:rich>
                  <a:bodyPr/>
                  <a:lstStyle/>
                  <a:p>
                    <a:fld id="{75629610-D6FA-423B-AA0C-B161293E53A4}" type="CELLRANGE">
                      <a:rPr lang="en-US"/>
                      <a:pPr/>
                      <a:t>[CELLRANGE]</a:t>
                    </a:fld>
                    <a:r>
                      <a:rPr lang="en-US" baseline="0"/>
                      <a:t>, </a:t>
                    </a:r>
                    <a:fld id="{4A672342-60F0-410F-9592-12B1150295B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33C-4B2E-B805-F29AADB9D35B}"/>
                </c:ext>
              </c:extLst>
            </c:dLbl>
            <c:dLbl>
              <c:idx val="1"/>
              <c:layout>
                <c:manualLayout>
                  <c:x val="2.2865846240687483E-2"/>
                  <c:y val="0"/>
                </c:manualLayout>
              </c:layout>
              <c:tx>
                <c:rich>
                  <a:bodyPr/>
                  <a:lstStyle/>
                  <a:p>
                    <a:fld id="{DC7474EA-0F4B-43EB-BC21-84EFC0445E6F}" type="CELLRANGE">
                      <a:rPr lang="en-US"/>
                      <a:pPr/>
                      <a:t>[CELLRANGE]</a:t>
                    </a:fld>
                    <a:r>
                      <a:rPr lang="en-US" baseline="0"/>
                      <a:t>, </a:t>
                    </a:r>
                    <a:fld id="{FD14226E-56AE-456E-9490-FFD41D01769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237-4CE7-A6CA-892CDE2578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report'!$C$16:$C$17</c:f>
              <c:strCache>
                <c:ptCount val="2"/>
                <c:pt idx="0">
                  <c:v>admitted</c:v>
                </c:pt>
                <c:pt idx="1">
                  <c:v>not admitted</c:v>
                </c:pt>
              </c:strCache>
            </c:strRef>
          </c:cat>
          <c:val>
            <c:numRef>
              <c:f>'Pivot report'!$C$16:$C$17</c:f>
              <c:numCache>
                <c:formatCode>General</c:formatCode>
                <c:ptCount val="2"/>
                <c:pt idx="0">
                  <c:v>269</c:v>
                </c:pt>
                <c:pt idx="1">
                  <c:v>244</c:v>
                </c:pt>
              </c:numCache>
            </c:numRef>
          </c:val>
          <c:extLst>
            <c:ext xmlns:c15="http://schemas.microsoft.com/office/drawing/2012/chart" uri="{02D57815-91ED-43cb-92C2-25804820EDAC}">
              <c15:datalabelsRange>
                <c15:f>'Pivot report'!$C$16:$C$17</c15:f>
                <c15:dlblRangeCache>
                  <c:ptCount val="2"/>
                  <c:pt idx="0">
                    <c:v>52.44%</c:v>
                  </c:pt>
                  <c:pt idx="1">
                    <c:v>47.56%</c:v>
                  </c:pt>
                </c15:dlblRangeCache>
              </c15:datalabelsRange>
            </c:ext>
            <c:ext xmlns:c16="http://schemas.microsoft.com/office/drawing/2014/chart" uri="{C3380CC4-5D6E-409C-BE32-E72D297353CC}">
              <c16:uniqueId val="{00000000-433C-4B2E-B805-F29AADB9D35B}"/>
            </c:ext>
          </c:extLst>
        </c:ser>
        <c:ser>
          <c:idx val="1"/>
          <c:order val="1"/>
          <c:tx>
            <c:strRef>
              <c:f>'Pivot report'!$C$16:$C$17</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report'!$C$16:$C$17</c:f>
              <c:strCache>
                <c:ptCount val="2"/>
                <c:pt idx="0">
                  <c:v>admitted</c:v>
                </c:pt>
                <c:pt idx="1">
                  <c:v>not admitted</c:v>
                </c:pt>
              </c:strCache>
            </c:strRef>
          </c:cat>
          <c:val>
            <c:numRef>
              <c:f>'Pivot report'!$C$16:$C$17</c:f>
              <c:numCache>
                <c:formatCode>0.00%</c:formatCode>
                <c:ptCount val="2"/>
                <c:pt idx="0">
                  <c:v>0.52436647173489281</c:v>
                </c:pt>
                <c:pt idx="1">
                  <c:v>0.47563352826510719</c:v>
                </c:pt>
              </c:numCache>
            </c:numRef>
          </c:val>
          <c:extLst>
            <c:ext xmlns:c16="http://schemas.microsoft.com/office/drawing/2014/chart" uri="{C3380CC4-5D6E-409C-BE32-E72D297353CC}">
              <c16:uniqueId val="{00000001-433C-4B2E-B805-F29AADB9D35B}"/>
            </c:ext>
          </c:extLst>
        </c:ser>
        <c:dLbls>
          <c:dLblPos val="inEnd"/>
          <c:showLegendKey val="0"/>
          <c:showVal val="1"/>
          <c:showCatName val="0"/>
          <c:showSerName val="0"/>
          <c:showPercent val="0"/>
          <c:showBubbleSize val="0"/>
        </c:dLbls>
        <c:gapWidth val="182"/>
        <c:axId val="1619297295"/>
        <c:axId val="1619297775"/>
      </c:barChart>
      <c:catAx>
        <c:axId val="1619297295"/>
        <c:scaling>
          <c:orientation val="minMax"/>
        </c:scaling>
        <c:delete val="1"/>
        <c:axPos val="l"/>
        <c:numFmt formatCode="General" sourceLinked="1"/>
        <c:majorTickMark val="none"/>
        <c:minorTickMark val="none"/>
        <c:tickLblPos val="nextTo"/>
        <c:crossAx val="1619297775"/>
        <c:crosses val="autoZero"/>
        <c:auto val="1"/>
        <c:lblAlgn val="ctr"/>
        <c:lblOffset val="100"/>
        <c:noMultiLvlLbl val="0"/>
      </c:catAx>
      <c:valAx>
        <c:axId val="1619297775"/>
        <c:scaling>
          <c:orientation val="minMax"/>
        </c:scaling>
        <c:delete val="1"/>
        <c:axPos val="b"/>
        <c:numFmt formatCode="General" sourceLinked="1"/>
        <c:majorTickMark val="none"/>
        <c:minorTickMark val="none"/>
        <c:tickLblPos val="nextTo"/>
        <c:crossAx val="16192972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44275322072603E-2"/>
          <c:y val="0.30946721995965931"/>
          <c:w val="0.93365323742683692"/>
          <c:h val="0.60329553150448101"/>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DE44-4CF4-AA92-0500F883A9F2}"/>
            </c:ext>
          </c:extLst>
        </c:ser>
        <c:dLbls>
          <c:showLegendKey val="0"/>
          <c:showVal val="0"/>
          <c:showCatName val="0"/>
          <c:showSerName val="0"/>
          <c:showPercent val="0"/>
          <c:showBubbleSize val="0"/>
        </c:dLbls>
        <c:axId val="864377951"/>
        <c:axId val="867071199"/>
      </c:areaChart>
      <c:catAx>
        <c:axId val="864377951"/>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071199"/>
        <c:crosses val="autoZero"/>
        <c:auto val="1"/>
        <c:lblAlgn val="ctr"/>
        <c:lblOffset val="100"/>
        <c:noMultiLvlLbl val="0"/>
      </c:catAx>
      <c:valAx>
        <c:axId val="867071199"/>
        <c:scaling>
          <c:orientation val="minMax"/>
        </c:scaling>
        <c:delete val="1"/>
        <c:axPos val="l"/>
        <c:numFmt formatCode="General" sourceLinked="1"/>
        <c:majorTickMark val="none"/>
        <c:minorTickMark val="none"/>
        <c:tickLblPos val="nextTo"/>
        <c:crossAx val="8643779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report!PivotTable5</c:name>
    <c:fmtId val="1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187823571901715"/>
          <c:y val="0.54354954967564051"/>
          <c:w val="0.4781217642809828"/>
          <c:h val="0.43106192348006545"/>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FDDE-4272-835A-7CA94E53F291}"/>
            </c:ext>
          </c:extLst>
        </c:ser>
        <c:dLbls>
          <c:showLegendKey val="0"/>
          <c:showVal val="0"/>
          <c:showCatName val="0"/>
          <c:showSerName val="0"/>
          <c:showPercent val="0"/>
          <c:showBubbleSize val="0"/>
        </c:dLbls>
        <c:axId val="864377951"/>
        <c:axId val="867071199"/>
      </c:areaChart>
      <c:catAx>
        <c:axId val="864377951"/>
        <c:scaling>
          <c:orientation val="minMax"/>
        </c:scaling>
        <c:delete val="0"/>
        <c:axPos val="b"/>
        <c:numFmt formatCode="General" sourceLinked="1"/>
        <c:majorTickMark val="out"/>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071199"/>
        <c:crosses val="autoZero"/>
        <c:auto val="1"/>
        <c:lblAlgn val="ctr"/>
        <c:lblOffset val="100"/>
        <c:noMultiLvlLbl val="0"/>
      </c:catAx>
      <c:valAx>
        <c:axId val="867071199"/>
        <c:scaling>
          <c:orientation val="minMax"/>
        </c:scaling>
        <c:delete val="1"/>
        <c:axPos val="l"/>
        <c:numFmt formatCode="General" sourceLinked="1"/>
        <c:majorTickMark val="none"/>
        <c:minorTickMark val="none"/>
        <c:tickLblPos val="nextTo"/>
        <c:crossAx val="8643779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43709890138662E-2"/>
          <c:y val="0.587254401896383"/>
          <c:w val="0.93885629010986138"/>
          <c:h val="0.40276246270328919"/>
        </c:manualLayout>
      </c:layout>
      <c:areaChart>
        <c:grouping val="standard"/>
        <c:varyColors val="0"/>
        <c:ser>
          <c:idx val="0"/>
          <c:order val="0"/>
          <c:tx>
            <c:strRef>
              <c:f>'Pivot report'!$K$5</c:f>
              <c:strCache>
                <c:ptCount val="1"/>
                <c:pt idx="0">
                  <c:v>Total</c:v>
                </c:pt>
              </c:strCache>
            </c:strRef>
          </c:tx>
          <c:spPr>
            <a:solidFill>
              <a:schemeClr val="accent1"/>
            </a:solidFill>
            <a:ln>
              <a:noFill/>
            </a:ln>
            <a:effectLst/>
          </c:spPr>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F626-4803-BCB4-DFACD529ED89}"/>
            </c:ext>
          </c:extLst>
        </c:ser>
        <c:dLbls>
          <c:showLegendKey val="0"/>
          <c:showVal val="0"/>
          <c:showCatName val="0"/>
          <c:showSerName val="0"/>
          <c:showPercent val="0"/>
          <c:showBubbleSize val="0"/>
        </c:dLbls>
        <c:axId val="864377951"/>
        <c:axId val="867071199"/>
      </c:areaChart>
      <c:catAx>
        <c:axId val="864377951"/>
        <c:scaling>
          <c:orientation val="minMax"/>
        </c:scaling>
        <c:delete val="1"/>
        <c:axPos val="b"/>
        <c:numFmt formatCode="General" sourceLinked="1"/>
        <c:majorTickMark val="out"/>
        <c:minorTickMark val="none"/>
        <c:tickLblPos val="nextTo"/>
        <c:crossAx val="867071199"/>
        <c:crosses val="autoZero"/>
        <c:auto val="1"/>
        <c:lblAlgn val="ctr"/>
        <c:lblOffset val="100"/>
        <c:noMultiLvlLbl val="0"/>
      </c:catAx>
      <c:valAx>
        <c:axId val="867071199"/>
        <c:scaling>
          <c:orientation val="minMax"/>
        </c:scaling>
        <c:delete val="1"/>
        <c:axPos val="l"/>
        <c:numFmt formatCode="General" sourceLinked="1"/>
        <c:majorTickMark val="out"/>
        <c:minorTickMark val="none"/>
        <c:tickLblPos val="nextTo"/>
        <c:crossAx val="86437795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641646248466231"/>
        </c:manualLayout>
      </c:layout>
      <c:areaChart>
        <c:grouping val="standard"/>
        <c:varyColors val="0"/>
        <c:ser>
          <c:idx val="0"/>
          <c:order val="0"/>
          <c:tx>
            <c:strRef>
              <c:f>'Pivot report'!$O$5</c:f>
              <c:strCache>
                <c:ptCount val="1"/>
                <c:pt idx="0">
                  <c:v>Total</c:v>
                </c:pt>
              </c:strCache>
            </c:strRef>
          </c:tx>
          <c:spPr>
            <a:solidFill>
              <a:schemeClr val="accent1"/>
            </a:solidFill>
            <a:ln>
              <a:noFill/>
            </a:ln>
            <a:effectLst/>
          </c:spPr>
          <c:cat>
            <c:strRef>
              <c:f>'Pivot report'!$N$6:$N$37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report'!$O$6:$O$37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43E8-458B-95AF-D365F3C2F47E}"/>
            </c:ext>
          </c:extLst>
        </c:ser>
        <c:dLbls>
          <c:showLegendKey val="0"/>
          <c:showVal val="0"/>
          <c:showCatName val="0"/>
          <c:showSerName val="0"/>
          <c:showPercent val="0"/>
          <c:showBubbleSize val="0"/>
        </c:dLbls>
        <c:axId val="547902735"/>
        <c:axId val="547903215"/>
      </c:areaChart>
      <c:catAx>
        <c:axId val="547902735"/>
        <c:scaling>
          <c:orientation val="minMax"/>
        </c:scaling>
        <c:delete val="1"/>
        <c:axPos val="b"/>
        <c:numFmt formatCode="General" sourceLinked="1"/>
        <c:majorTickMark val="out"/>
        <c:minorTickMark val="none"/>
        <c:tickLblPos val="nextTo"/>
        <c:crossAx val="547903215"/>
        <c:crosses val="autoZero"/>
        <c:auto val="1"/>
        <c:lblAlgn val="ctr"/>
        <c:lblOffset val="100"/>
        <c:noMultiLvlLbl val="0"/>
      </c:catAx>
      <c:valAx>
        <c:axId val="547903215"/>
        <c:scaling>
          <c:orientation val="minMax"/>
        </c:scaling>
        <c:delete val="1"/>
        <c:axPos val="l"/>
        <c:numFmt formatCode="0.00" sourceLinked="1"/>
        <c:majorTickMark val="none"/>
        <c:minorTickMark val="none"/>
        <c:tickLblPos val="nextTo"/>
        <c:crossAx val="547902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report!PivotTable6</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report'!$T$4</c:f>
              <c:strCache>
                <c:ptCount val="1"/>
                <c:pt idx="0">
                  <c:v>Total</c:v>
                </c:pt>
              </c:strCache>
            </c:strRef>
          </c:tx>
          <c:spPr>
            <a:solidFill>
              <a:schemeClr val="accent1"/>
            </a:solidFill>
            <a:ln>
              <a:noFill/>
            </a:ln>
            <a:effectLst/>
          </c:spPr>
          <c:cat>
            <c:strRef>
              <c:f>'Pivot report'!$S$5:$S$36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report'!$T$5:$T$36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08DF-41B0-ACE8-6A5B859C939A}"/>
            </c:ext>
          </c:extLst>
        </c:ser>
        <c:dLbls>
          <c:showLegendKey val="0"/>
          <c:showVal val="0"/>
          <c:showCatName val="0"/>
          <c:showSerName val="0"/>
          <c:showPercent val="0"/>
          <c:showBubbleSize val="0"/>
        </c:dLbls>
        <c:axId val="547900815"/>
        <c:axId val="547898415"/>
      </c:areaChart>
      <c:catAx>
        <c:axId val="547900815"/>
        <c:scaling>
          <c:orientation val="minMax"/>
        </c:scaling>
        <c:delete val="1"/>
        <c:axPos val="b"/>
        <c:numFmt formatCode="General" sourceLinked="1"/>
        <c:majorTickMark val="out"/>
        <c:minorTickMark val="none"/>
        <c:tickLblPos val="nextTo"/>
        <c:crossAx val="547898415"/>
        <c:crosses val="autoZero"/>
        <c:auto val="1"/>
        <c:lblAlgn val="ctr"/>
        <c:lblOffset val="100"/>
        <c:noMultiLvlLbl val="0"/>
      </c:catAx>
      <c:valAx>
        <c:axId val="547898415"/>
        <c:scaling>
          <c:orientation val="minMax"/>
        </c:scaling>
        <c:delete val="1"/>
        <c:axPos val="l"/>
        <c:numFmt formatCode="0.00" sourceLinked="1"/>
        <c:majorTickMark val="none"/>
        <c:minorTickMark val="none"/>
        <c:tickLblPos val="nextTo"/>
        <c:crossAx val="547900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report'!$A$29:$A$37</c:f>
              <c:strCache>
                <c:ptCount val="8"/>
                <c:pt idx="0">
                  <c:v>0-09</c:v>
                </c:pt>
                <c:pt idx="1">
                  <c:v>10-19</c:v>
                </c:pt>
                <c:pt idx="2">
                  <c:v>20-29</c:v>
                </c:pt>
                <c:pt idx="3">
                  <c:v>30-39</c:v>
                </c:pt>
                <c:pt idx="4">
                  <c:v>40-49</c:v>
                </c:pt>
                <c:pt idx="5">
                  <c:v>50-59</c:v>
                </c:pt>
                <c:pt idx="6">
                  <c:v>60-69</c:v>
                </c:pt>
                <c:pt idx="7">
                  <c:v>70-79</c:v>
                </c:pt>
              </c:strCache>
            </c:strRef>
          </c:cat>
          <c:val>
            <c:numRef>
              <c:f>'Pivot report'!$B$29:$B$37</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220C-4597-B6F0-4A0E47FC0FD5}"/>
            </c:ext>
          </c:extLst>
        </c:ser>
        <c:dLbls>
          <c:showLegendKey val="0"/>
          <c:showVal val="0"/>
          <c:showCatName val="0"/>
          <c:showSerName val="0"/>
          <c:showPercent val="0"/>
          <c:showBubbleSize val="0"/>
        </c:dLbls>
        <c:gapWidth val="219"/>
        <c:overlap val="-27"/>
        <c:axId val="540709071"/>
        <c:axId val="540714351"/>
      </c:barChart>
      <c:catAx>
        <c:axId val="54070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714351"/>
        <c:crosses val="autoZero"/>
        <c:auto val="1"/>
        <c:lblAlgn val="ctr"/>
        <c:lblOffset val="100"/>
        <c:noMultiLvlLbl val="0"/>
      </c:catAx>
      <c:valAx>
        <c:axId val="540714351"/>
        <c:scaling>
          <c:orientation val="minMax"/>
        </c:scaling>
        <c:delete val="1"/>
        <c:axPos val="l"/>
        <c:numFmt formatCode="General" sourceLinked="1"/>
        <c:majorTickMark val="none"/>
        <c:minorTickMark val="none"/>
        <c:tickLblPos val="nextTo"/>
        <c:crossAx val="54070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report!PivotTable8</c:name>
    <c:fmtId val="3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148216567003942"/>
          <c:y val="0.13801869092337121"/>
          <c:w val="0.78936332875736936"/>
          <c:h val="0.72067307378200562"/>
        </c:manualLayout>
      </c:layout>
      <c:pieChart>
        <c:varyColors val="1"/>
        <c:ser>
          <c:idx val="0"/>
          <c:order val="0"/>
          <c:tx>
            <c:strRef>
              <c:f>'Pivot report'!$E$28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8D-46A6-A623-447A44049CF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8D-46A6-A623-447A44049C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report'!$D$29:$D$31</c:f>
              <c:strCache>
                <c:ptCount val="2"/>
                <c:pt idx="0">
                  <c:v>delay</c:v>
                </c:pt>
                <c:pt idx="1">
                  <c:v>ontime</c:v>
                </c:pt>
              </c:strCache>
            </c:strRef>
          </c:cat>
          <c:val>
            <c:numRef>
              <c:f>'Pivot report'!$E$29:$E$31</c:f>
              <c:numCache>
                <c:formatCode>General</c:formatCode>
                <c:ptCount val="2"/>
                <c:pt idx="0">
                  <c:v>316</c:v>
                </c:pt>
                <c:pt idx="1">
                  <c:v>197</c:v>
                </c:pt>
              </c:numCache>
            </c:numRef>
          </c:val>
          <c:extLst>
            <c:ext xmlns:c16="http://schemas.microsoft.com/office/drawing/2014/chart" uri="{C3380CC4-5D6E-409C-BE32-E72D297353CC}">
              <c16:uniqueId val="{00000004-D68D-46A6-A623-447A44049CF0}"/>
            </c:ext>
          </c:extLst>
        </c:ser>
        <c:dLbls>
          <c:dLblPos val="inEnd"/>
          <c:showLegendKey val="0"/>
          <c:showVal val="0"/>
          <c:showCatName val="0"/>
          <c:showSerName val="0"/>
          <c:showPercent val="1"/>
          <c:showBubbleSize val="0"/>
          <c:showLeaderLines val="1"/>
        </c:dLbls>
        <c:firstSliceAng val="0"/>
      </c:pieChart>
      <c:spPr>
        <a:noFill/>
        <a:ln>
          <a:noFill/>
        </a:ln>
        <a:effectLst>
          <a:outerShdw dist="50800" dir="5400000" algn="ctr" rotWithShape="0">
            <a:srgbClr val="000000">
              <a:alpha val="0"/>
            </a:srgbClr>
          </a:outerShdw>
        </a:effectLst>
      </c:spPr>
    </c:plotArea>
    <c:legend>
      <c:legendPos val="r"/>
      <c:layout>
        <c:manualLayout>
          <c:xMode val="edge"/>
          <c:yMode val="edge"/>
          <c:x val="6.3910897324400667E-2"/>
          <c:y val="6.7433505157219707E-3"/>
          <c:w val="0.88119827441233067"/>
          <c:h val="0.154663747496205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report!PivotTable10</c:name>
    <c:fmtId val="38"/>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7445009339566"/>
          <c:y val="0.20997506492848511"/>
          <c:w val="0.67606515167425185"/>
          <c:h val="0.5873923322979927"/>
        </c:manualLayout>
      </c:layout>
      <c:doughnutChart>
        <c:varyColors val="1"/>
        <c:ser>
          <c:idx val="0"/>
          <c:order val="0"/>
          <c:tx>
            <c:strRef>
              <c:f>'Pivot report'!$E$34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A86-492A-9437-CE09F3A8CC0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A86-492A-9437-CE09F3A8CC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report'!$D$35:$D$37</c:f>
              <c:strCache>
                <c:ptCount val="2"/>
                <c:pt idx="0">
                  <c:v>Female</c:v>
                </c:pt>
                <c:pt idx="1">
                  <c:v>Male</c:v>
                </c:pt>
              </c:strCache>
            </c:strRef>
          </c:cat>
          <c:val>
            <c:numRef>
              <c:f>'Pivot report'!$E$35:$E$37</c:f>
              <c:numCache>
                <c:formatCode>General</c:formatCode>
                <c:ptCount val="2"/>
                <c:pt idx="0">
                  <c:v>241</c:v>
                </c:pt>
                <c:pt idx="1">
                  <c:v>272</c:v>
                </c:pt>
              </c:numCache>
            </c:numRef>
          </c:val>
          <c:extLst>
            <c:ext xmlns:c16="http://schemas.microsoft.com/office/drawing/2014/chart" uri="{C3380CC4-5D6E-409C-BE32-E72D297353CC}">
              <c16:uniqueId val="{00000004-BA86-492A-9437-CE09F3A8CC0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456072116788487"/>
          <c:y val="4.423539896152491E-2"/>
          <c:w val="0.69564757788338138"/>
          <c:h val="0.15896453571925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report!PivotTable11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7870386803868"/>
          <c:y val="0"/>
          <c:w val="0.69137209079675876"/>
          <c:h val="0.995172023242054"/>
        </c:manualLayout>
      </c:layout>
      <c:barChart>
        <c:barDir val="bar"/>
        <c:grouping val="clustered"/>
        <c:varyColors val="0"/>
        <c:ser>
          <c:idx val="0"/>
          <c:order val="0"/>
          <c:tx>
            <c:strRef>
              <c:f>'Pivot report'!$E$40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report'!$D$41:$D$49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report'!$E$41:$E$49</c:f>
              <c:numCache>
                <c:formatCode>General</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0-CFC0-4A8C-90D6-4D4F918BA723}"/>
            </c:ext>
          </c:extLst>
        </c:ser>
        <c:dLbls>
          <c:showLegendKey val="0"/>
          <c:showVal val="0"/>
          <c:showCatName val="0"/>
          <c:showSerName val="0"/>
          <c:showPercent val="0"/>
          <c:showBubbleSize val="0"/>
        </c:dLbls>
        <c:gapWidth val="182"/>
        <c:axId val="1151608863"/>
        <c:axId val="1151592543"/>
      </c:barChart>
      <c:catAx>
        <c:axId val="115160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592543"/>
        <c:crosses val="autoZero"/>
        <c:auto val="1"/>
        <c:lblAlgn val="ctr"/>
        <c:lblOffset val="100"/>
        <c:noMultiLvlLbl val="0"/>
      </c:catAx>
      <c:valAx>
        <c:axId val="1151592543"/>
        <c:scaling>
          <c:orientation val="minMax"/>
        </c:scaling>
        <c:delete val="1"/>
        <c:axPos val="b"/>
        <c:numFmt formatCode="General" sourceLinked="1"/>
        <c:majorTickMark val="none"/>
        <c:minorTickMark val="none"/>
        <c:tickLblPos val="nextTo"/>
        <c:crossAx val="115160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report!PivotTable6</c:name>
    <c:fmtId val="4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report'!$T$4</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report'!$S$5:$S$36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report'!$T$5:$T$36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AB5-49F8-A145-9EBF2597D2F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47900815"/>
        <c:axId val="547898415"/>
      </c:areaChart>
      <c:catAx>
        <c:axId val="5479008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47898415"/>
        <c:crosses val="autoZero"/>
        <c:auto val="1"/>
        <c:lblAlgn val="ctr"/>
        <c:lblOffset val="100"/>
        <c:noMultiLvlLbl val="0"/>
      </c:catAx>
      <c:valAx>
        <c:axId val="5478984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7900815"/>
        <c:crosses val="autoZero"/>
        <c:crossBetween val="midCat"/>
      </c:valAx>
      <c:spPr>
        <a:solidFill>
          <a:srgbClr val="D8C2D3"/>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report!PivotTable2</c:name>
    <c:fmtId val="3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641646248466231"/>
        </c:manualLayout>
      </c:layout>
      <c:areaChart>
        <c:grouping val="standard"/>
        <c:varyColors val="0"/>
        <c:ser>
          <c:idx val="0"/>
          <c:order val="0"/>
          <c:tx>
            <c:strRef>
              <c:f>'Pivot report'!$O$5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report'!$N$6:$N$37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report'!$O$6:$O$37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5BF-4DC4-9123-7C8ACF2FDB1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47902735"/>
        <c:axId val="547903215"/>
      </c:areaChart>
      <c:catAx>
        <c:axId val="5479027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47903215"/>
        <c:crosses val="autoZero"/>
        <c:auto val="1"/>
        <c:lblAlgn val="ctr"/>
        <c:lblOffset val="100"/>
        <c:noMultiLvlLbl val="0"/>
      </c:catAx>
      <c:valAx>
        <c:axId val="5479032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7902735"/>
        <c:crosses val="autoZero"/>
        <c:crossBetween val="midCat"/>
      </c:valAx>
      <c:spPr>
        <a:solidFill>
          <a:schemeClr val="accent4">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report!PivotTable5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43709890138662E-2"/>
          <c:y val="0.48428308975349588"/>
          <c:w val="0.93885629010986138"/>
          <c:h val="0.50573359346179469"/>
        </c:manualLayout>
      </c:layout>
      <c:areaChart>
        <c:grouping val="standard"/>
        <c:varyColors val="0"/>
        <c:ser>
          <c:idx val="0"/>
          <c:order val="0"/>
          <c:tx>
            <c:strRef>
              <c:f>'Pivot report'!$K$5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report'!$J$6:$J$37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report'!$K$6:$K$37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09DD-4394-9785-D68F342A89A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64377951"/>
        <c:axId val="867071199"/>
      </c:areaChart>
      <c:catAx>
        <c:axId val="8643779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67071199"/>
        <c:crosses val="autoZero"/>
        <c:auto val="1"/>
        <c:lblAlgn val="ctr"/>
        <c:lblOffset val="100"/>
        <c:noMultiLvlLbl val="0"/>
      </c:catAx>
      <c:valAx>
        <c:axId val="8670711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4377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7.xml"/><Relationship Id="rId3" Type="http://schemas.openxmlformats.org/officeDocument/2006/relationships/hyperlink" Target="#'satisfaction score of daily tre'!A1"/><Relationship Id="rId21" Type="http://schemas.openxmlformats.org/officeDocument/2006/relationships/chart" Target="../charts/chart10.xml"/><Relationship Id="rId7" Type="http://schemas.openxmlformats.org/officeDocument/2006/relationships/image" Target="../media/image5.svg"/><Relationship Id="rId12" Type="http://schemas.openxmlformats.org/officeDocument/2006/relationships/chart" Target="../charts/chart3.xml"/><Relationship Id="rId17" Type="http://schemas.openxmlformats.org/officeDocument/2006/relationships/image" Target="../media/image8.emf"/><Relationship Id="rId2" Type="http://schemas.openxmlformats.org/officeDocument/2006/relationships/hyperlink" Target="#'Daily ER No of Patient'!A1"/><Relationship Id="rId16" Type="http://schemas.openxmlformats.org/officeDocument/2006/relationships/chart" Target="../charts/chart6.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hyperlink" Target="#Sheet2!A1"/><Relationship Id="rId19" Type="http://schemas.openxmlformats.org/officeDocument/2006/relationships/chart" Target="../charts/chart8.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hyperlink" Target="#'Avg wait time daily trend'!A1"/></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24</xdr:col>
      <xdr:colOff>842078</xdr:colOff>
      <xdr:row>1</xdr:row>
      <xdr:rowOff>220262</xdr:rowOff>
    </xdr:from>
    <xdr:to>
      <xdr:col>26</xdr:col>
      <xdr:colOff>842081</xdr:colOff>
      <xdr:row>15</xdr:row>
      <xdr:rowOff>32541</xdr:rowOff>
    </xdr:to>
    <mc:AlternateContent xmlns:mc="http://schemas.openxmlformats.org/markup-compatibility/2006" xmlns:a14="http://schemas.microsoft.com/office/drawing/2010/main">
      <mc:Choice Requires="a14">
        <xdr:graphicFrame macro="">
          <xdr:nvGraphicFramePr>
            <xdr:cNvPr id="4" name="date (Month)">
              <a:extLst>
                <a:ext uri="{FF2B5EF4-FFF2-40B4-BE49-F238E27FC236}">
                  <a16:creationId xmlns:a16="http://schemas.microsoft.com/office/drawing/2014/main" id="{F92D272E-AAE8-08C3-C701-09A3C0BC8C24}"/>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5132078" y="472896"/>
              <a:ext cx="1829894" cy="3349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18676</xdr:colOff>
      <xdr:row>23</xdr:row>
      <xdr:rowOff>3129</xdr:rowOff>
    </xdr:from>
    <xdr:to>
      <xdr:col>4</xdr:col>
      <xdr:colOff>34140</xdr:colOff>
      <xdr:row>25</xdr:row>
      <xdr:rowOff>0</xdr:rowOff>
    </xdr:to>
    <xdr:graphicFrame macro="">
      <xdr:nvGraphicFramePr>
        <xdr:cNvPr id="5" name="Chart 4">
          <a:extLst>
            <a:ext uri="{FF2B5EF4-FFF2-40B4-BE49-F238E27FC236}">
              <a16:creationId xmlns:a16="http://schemas.microsoft.com/office/drawing/2014/main" id="{FC7CDFDA-D681-1C8D-A433-39567B2F2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241300</xdr:colOff>
      <xdr:row>0</xdr:row>
      <xdr:rowOff>203200</xdr:rowOff>
    </xdr:from>
    <xdr:to>
      <xdr:col>6</xdr:col>
      <xdr:colOff>323850</xdr:colOff>
      <xdr:row>4</xdr:row>
      <xdr:rowOff>88900</xdr:rowOff>
    </xdr:to>
    <xdr:sp macro="" textlink="">
      <xdr:nvSpPr>
        <xdr:cNvPr id="6" name="Rectangle: Rounded Corners 5">
          <a:extLst>
            <a:ext uri="{FF2B5EF4-FFF2-40B4-BE49-F238E27FC236}">
              <a16:creationId xmlns:a16="http://schemas.microsoft.com/office/drawing/2014/main" id="{E5D424BA-81B2-B565-E5B6-4696565C6669}"/>
            </a:ext>
          </a:extLst>
        </xdr:cNvPr>
        <xdr:cNvSpPr/>
      </xdr:nvSpPr>
      <xdr:spPr>
        <a:xfrm>
          <a:off x="241300" y="203200"/>
          <a:ext cx="5568950" cy="901700"/>
        </a:xfrm>
        <a:prstGeom prst="roundRect">
          <a:avLst>
            <a:gd name="adj" fmla="val 10328"/>
          </a:avLst>
        </a:prstGeom>
        <a:solidFill>
          <a:schemeClr val="bg1"/>
        </a:solidFill>
        <a:effectLst>
          <a:outerShdw blurRad="101600" dist="50800" dir="4800000" sx="97000" sy="97000" algn="ctr" rotWithShape="0">
            <a:srgbClr val="000000">
              <a:alpha val="9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6</xdr:col>
      <xdr:colOff>463550</xdr:colOff>
      <xdr:row>0</xdr:row>
      <xdr:rowOff>203199</xdr:rowOff>
    </xdr:from>
    <xdr:to>
      <xdr:col>8</xdr:col>
      <xdr:colOff>514350</xdr:colOff>
      <xdr:row>4</xdr:row>
      <xdr:rowOff>169332</xdr:rowOff>
    </xdr:to>
    <xdr:sp macro="" textlink="">
      <xdr:nvSpPr>
        <xdr:cNvPr id="7" name="Rectangle: Rounded Corners 6">
          <a:extLst>
            <a:ext uri="{FF2B5EF4-FFF2-40B4-BE49-F238E27FC236}">
              <a16:creationId xmlns:a16="http://schemas.microsoft.com/office/drawing/2014/main" id="{5CDD3A76-F6EA-5C46-5470-8AC7DEBC01D4}"/>
            </a:ext>
          </a:extLst>
        </xdr:cNvPr>
        <xdr:cNvSpPr/>
      </xdr:nvSpPr>
      <xdr:spPr>
        <a:xfrm>
          <a:off x="5942693" y="203199"/>
          <a:ext cx="1877181" cy="982133"/>
        </a:xfrm>
        <a:prstGeom prst="roundRect">
          <a:avLst>
            <a:gd name="adj" fmla="val 13850"/>
          </a:avLst>
        </a:prstGeom>
        <a:solidFill>
          <a:schemeClr val="bg1"/>
        </a:solidFill>
        <a:effectLst>
          <a:outerShdw blurRad="50800" dist="50800" dir="5400000" algn="ctr" rotWithShape="0">
            <a:srgbClr val="000000">
              <a:alpha val="8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666750</xdr:colOff>
      <xdr:row>0</xdr:row>
      <xdr:rowOff>184150</xdr:rowOff>
    </xdr:from>
    <xdr:to>
      <xdr:col>10</xdr:col>
      <xdr:colOff>539750</xdr:colOff>
      <xdr:row>8</xdr:row>
      <xdr:rowOff>31750</xdr:rowOff>
    </xdr:to>
    <xdr:sp macro="" textlink="">
      <xdr:nvSpPr>
        <xdr:cNvPr id="8" name="Rectangle: Rounded Corners 7">
          <a:extLst>
            <a:ext uri="{FF2B5EF4-FFF2-40B4-BE49-F238E27FC236}">
              <a16:creationId xmlns:a16="http://schemas.microsoft.com/office/drawing/2014/main" id="{96B2DA2F-287A-8F68-9881-7F0CD60CFDFE}"/>
            </a:ext>
          </a:extLst>
        </xdr:cNvPr>
        <xdr:cNvSpPr/>
      </xdr:nvSpPr>
      <xdr:spPr>
        <a:xfrm>
          <a:off x="7981950" y="184150"/>
          <a:ext cx="1701800" cy="1879600"/>
        </a:xfrm>
        <a:prstGeom prst="roundRect">
          <a:avLst>
            <a:gd name="adj" fmla="val 6503"/>
          </a:avLst>
        </a:prstGeom>
        <a:solidFill>
          <a:schemeClr val="bg1"/>
        </a:solidFill>
        <a:effectLst>
          <a:outerShdw blurRad="50800" dist="50800" dir="5400000" algn="ctr" rotWithShape="0">
            <a:srgbClr val="000000">
              <a:alpha val="7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685800</xdr:colOff>
      <xdr:row>0</xdr:row>
      <xdr:rowOff>165100</xdr:rowOff>
    </xdr:from>
    <xdr:to>
      <xdr:col>12</xdr:col>
      <xdr:colOff>565150</xdr:colOff>
      <xdr:row>7</xdr:row>
      <xdr:rowOff>234950</xdr:rowOff>
    </xdr:to>
    <xdr:sp macro="" textlink="">
      <xdr:nvSpPr>
        <xdr:cNvPr id="9" name="Rectangle: Rounded Corners 8">
          <a:extLst>
            <a:ext uri="{FF2B5EF4-FFF2-40B4-BE49-F238E27FC236}">
              <a16:creationId xmlns:a16="http://schemas.microsoft.com/office/drawing/2014/main" id="{1F44ECD1-6D63-C65F-698E-78EA19B5DFE1}"/>
            </a:ext>
          </a:extLst>
        </xdr:cNvPr>
        <xdr:cNvSpPr/>
      </xdr:nvSpPr>
      <xdr:spPr>
        <a:xfrm>
          <a:off x="9829800" y="165100"/>
          <a:ext cx="1708150" cy="1847850"/>
        </a:xfrm>
        <a:prstGeom prst="roundRect">
          <a:avLst>
            <a:gd name="adj" fmla="val 5383"/>
          </a:avLst>
        </a:prstGeom>
        <a:solidFill>
          <a:schemeClr val="bg1"/>
        </a:solidFill>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284126</xdr:colOff>
      <xdr:row>5</xdr:row>
      <xdr:rowOff>70442</xdr:rowOff>
    </xdr:from>
    <xdr:to>
      <xdr:col>1</xdr:col>
      <xdr:colOff>635000</xdr:colOff>
      <xdr:row>22</xdr:row>
      <xdr:rowOff>0</xdr:rowOff>
    </xdr:to>
    <xdr:sp macro="" textlink="">
      <xdr:nvSpPr>
        <xdr:cNvPr id="10" name="Rectangle: Rounded Corners 9">
          <a:extLst>
            <a:ext uri="{FF2B5EF4-FFF2-40B4-BE49-F238E27FC236}">
              <a16:creationId xmlns:a16="http://schemas.microsoft.com/office/drawing/2014/main" id="{80BD71B9-E517-4D7B-6E6D-795B7942F870}"/>
            </a:ext>
          </a:extLst>
        </xdr:cNvPr>
        <xdr:cNvSpPr/>
      </xdr:nvSpPr>
      <xdr:spPr>
        <a:xfrm>
          <a:off x="284126" y="1329494"/>
          <a:ext cx="1270529" cy="4210334"/>
        </a:xfrm>
        <a:prstGeom prst="roundRect">
          <a:avLst>
            <a:gd name="adj" fmla="val 8493"/>
          </a:avLst>
        </a:prstGeom>
        <a:solidFill>
          <a:schemeClr val="bg1"/>
        </a:solidFill>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751019</xdr:colOff>
      <xdr:row>5</xdr:row>
      <xdr:rowOff>134454</xdr:rowOff>
    </xdr:from>
    <xdr:to>
      <xdr:col>8</xdr:col>
      <xdr:colOff>484319</xdr:colOff>
      <xdr:row>21</xdr:row>
      <xdr:rowOff>206447</xdr:rowOff>
    </xdr:to>
    <xdr:grpSp>
      <xdr:nvGrpSpPr>
        <xdr:cNvPr id="18" name="Group 17">
          <a:extLst>
            <a:ext uri="{FF2B5EF4-FFF2-40B4-BE49-F238E27FC236}">
              <a16:creationId xmlns:a16="http://schemas.microsoft.com/office/drawing/2014/main" id="{B4B3F3D1-E4DD-7F93-DF4D-8AD1938CE569}"/>
            </a:ext>
          </a:extLst>
        </xdr:cNvPr>
        <xdr:cNvGrpSpPr/>
      </xdr:nvGrpSpPr>
      <xdr:grpSpPr>
        <a:xfrm>
          <a:off x="1663110" y="1404454"/>
          <a:ext cx="6117936" cy="4135993"/>
          <a:chOff x="1695450" y="1257300"/>
          <a:chExt cx="6134100" cy="4292600"/>
        </a:xfrm>
        <a:solidFill>
          <a:schemeClr val="bg1"/>
        </a:solidFill>
        <a:effectLst>
          <a:outerShdw blurRad="50800" dist="50800" dir="5400000" algn="ctr" rotWithShape="0">
            <a:srgbClr val="000000">
              <a:alpha val="88000"/>
            </a:srgbClr>
          </a:outerShdw>
        </a:effectLst>
      </xdr:grpSpPr>
      <xdr:sp macro="" textlink="">
        <xdr:nvSpPr>
          <xdr:cNvPr id="11" name="Rectangle: Rounded Corners 10">
            <a:extLst>
              <a:ext uri="{FF2B5EF4-FFF2-40B4-BE49-F238E27FC236}">
                <a16:creationId xmlns:a16="http://schemas.microsoft.com/office/drawing/2014/main" id="{43FC1F15-1B03-ADB4-9D20-B1D3FE4599CE}"/>
              </a:ext>
            </a:extLst>
          </xdr:cNvPr>
          <xdr:cNvSpPr/>
        </xdr:nvSpPr>
        <xdr:spPr>
          <a:xfrm>
            <a:off x="1708150" y="1257300"/>
            <a:ext cx="1907599" cy="1352550"/>
          </a:xfrm>
          <a:prstGeom prst="roundRect">
            <a:avLst>
              <a:gd name="adj" fmla="val 785"/>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4782F6F-B161-D836-4976-B444B2B37921}"/>
              </a:ext>
            </a:extLst>
          </xdr:cNvPr>
          <xdr:cNvSpPr/>
        </xdr:nvSpPr>
        <xdr:spPr>
          <a:xfrm>
            <a:off x="3815050" y="1257300"/>
            <a:ext cx="1907599" cy="1352550"/>
          </a:xfrm>
          <a:prstGeom prst="roundRect">
            <a:avLst>
              <a:gd name="adj" fmla="val 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375C2A0C-C923-F577-10CE-E1194DB2053D}"/>
              </a:ext>
            </a:extLst>
          </xdr:cNvPr>
          <xdr:cNvSpPr/>
        </xdr:nvSpPr>
        <xdr:spPr>
          <a:xfrm>
            <a:off x="5921951" y="1257300"/>
            <a:ext cx="1907599" cy="1352550"/>
          </a:xfrm>
          <a:prstGeom prst="roundRect">
            <a:avLst>
              <a:gd name="adj" fmla="val 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372720DF-105F-4F2C-47AB-EB3EE866BC89}"/>
              </a:ext>
            </a:extLst>
          </xdr:cNvPr>
          <xdr:cNvSpPr/>
        </xdr:nvSpPr>
        <xdr:spPr>
          <a:xfrm>
            <a:off x="1695450" y="3778250"/>
            <a:ext cx="6134100" cy="1771650"/>
          </a:xfrm>
          <a:prstGeom prst="roundRect">
            <a:avLst>
              <a:gd name="adj" fmla="val 202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nnnnhh</a:t>
            </a:r>
          </a:p>
        </xdr:txBody>
      </xdr:sp>
      <xdr:sp macro="" textlink="">
        <xdr:nvSpPr>
          <xdr:cNvPr id="20" name="Rectangle: Rounded Corners 19">
            <a:extLst>
              <a:ext uri="{FF2B5EF4-FFF2-40B4-BE49-F238E27FC236}">
                <a16:creationId xmlns:a16="http://schemas.microsoft.com/office/drawing/2014/main" id="{1F3D1231-A5A3-C2F6-37D9-D1AA6844274A}"/>
              </a:ext>
            </a:extLst>
          </xdr:cNvPr>
          <xdr:cNvSpPr/>
        </xdr:nvSpPr>
        <xdr:spPr>
          <a:xfrm>
            <a:off x="1695450" y="2692400"/>
            <a:ext cx="6134100" cy="958850"/>
          </a:xfrm>
          <a:prstGeom prst="roundRect">
            <a:avLst>
              <a:gd name="adj" fmla="val 2020"/>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8</xdr:col>
      <xdr:colOff>635000</xdr:colOff>
      <xdr:row>8</xdr:row>
      <xdr:rowOff>171450</xdr:rowOff>
    </xdr:from>
    <xdr:to>
      <xdr:col>12</xdr:col>
      <xdr:colOff>584200</xdr:colOff>
      <xdr:row>21</xdr:row>
      <xdr:rowOff>196850</xdr:rowOff>
    </xdr:to>
    <xdr:sp macro="" textlink="">
      <xdr:nvSpPr>
        <xdr:cNvPr id="21" name="Rectangle: Rounded Corners 20">
          <a:extLst>
            <a:ext uri="{FF2B5EF4-FFF2-40B4-BE49-F238E27FC236}">
              <a16:creationId xmlns:a16="http://schemas.microsoft.com/office/drawing/2014/main" id="{56115F83-76C4-E975-DAE0-CC214C880333}"/>
            </a:ext>
          </a:extLst>
        </xdr:cNvPr>
        <xdr:cNvSpPr/>
      </xdr:nvSpPr>
      <xdr:spPr>
        <a:xfrm>
          <a:off x="7950200" y="2203450"/>
          <a:ext cx="3606800" cy="3327400"/>
        </a:xfrm>
        <a:prstGeom prst="roundRect">
          <a:avLst>
            <a:gd name="adj" fmla="val 3068"/>
          </a:avLst>
        </a:prstGeom>
        <a:solidFill>
          <a:schemeClr val="bg1"/>
        </a:solidFill>
        <a:effectLst>
          <a:outerShdw blurRad="50800" dist="50800" dir="5400000" algn="ctr" rotWithShape="0">
            <a:srgbClr val="000000">
              <a:alpha val="7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346364</xdr:colOff>
      <xdr:row>1</xdr:row>
      <xdr:rowOff>63500</xdr:rowOff>
    </xdr:from>
    <xdr:to>
      <xdr:col>6</xdr:col>
      <xdr:colOff>166768</xdr:colOff>
      <xdr:row>2</xdr:row>
      <xdr:rowOff>158750</xdr:rowOff>
    </xdr:to>
    <xdr:sp macro="" textlink="">
      <xdr:nvSpPr>
        <xdr:cNvPr id="24" name="TextBox 23">
          <a:extLst>
            <a:ext uri="{FF2B5EF4-FFF2-40B4-BE49-F238E27FC236}">
              <a16:creationId xmlns:a16="http://schemas.microsoft.com/office/drawing/2014/main" id="{C4A75FB7-D9B6-D8ED-DB6F-CCCAF06B31D1}"/>
            </a:ext>
          </a:extLst>
        </xdr:cNvPr>
        <xdr:cNvSpPr txBox="1"/>
      </xdr:nvSpPr>
      <xdr:spPr>
        <a:xfrm>
          <a:off x="1263586" y="320066"/>
          <a:ext cx="4406515" cy="351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a:latin typeface="Arial Black" panose="020B0A04020102020204" pitchFamily="34" charset="0"/>
            </a:rPr>
            <a:t>Hospital Emergency Room Dashboard</a:t>
          </a:r>
        </a:p>
      </xdr:txBody>
    </xdr:sp>
    <xdr:clientData/>
  </xdr:twoCellAnchor>
  <xdr:twoCellAnchor editAs="oneCell">
    <xdr:from>
      <xdr:col>0</xdr:col>
      <xdr:colOff>342901</xdr:colOff>
      <xdr:row>1</xdr:row>
      <xdr:rowOff>25401</xdr:rowOff>
    </xdr:from>
    <xdr:to>
      <xdr:col>1</xdr:col>
      <xdr:colOff>393700</xdr:colOff>
      <xdr:row>4</xdr:row>
      <xdr:rowOff>38101</xdr:rowOff>
    </xdr:to>
    <xdr:pic>
      <xdr:nvPicPr>
        <xdr:cNvPr id="28" name="Picture 27">
          <a:extLst>
            <a:ext uri="{FF2B5EF4-FFF2-40B4-BE49-F238E27FC236}">
              <a16:creationId xmlns:a16="http://schemas.microsoft.com/office/drawing/2014/main" id="{607F2577-ADEE-2F11-7C51-F3B13A2C44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2901" y="279401"/>
          <a:ext cx="965199" cy="774700"/>
        </a:xfrm>
        <a:prstGeom prst="rect">
          <a:avLst/>
        </a:prstGeom>
      </xdr:spPr>
    </xdr:pic>
    <xdr:clientData/>
  </xdr:twoCellAnchor>
  <xdr:twoCellAnchor editAs="absolute">
    <xdr:from>
      <xdr:col>2</xdr:col>
      <xdr:colOff>628650</xdr:colOff>
      <xdr:row>2</xdr:row>
      <xdr:rowOff>165099</xdr:rowOff>
    </xdr:from>
    <xdr:to>
      <xdr:col>5</xdr:col>
      <xdr:colOff>513131</xdr:colOff>
      <xdr:row>4</xdr:row>
      <xdr:rowOff>76968</xdr:rowOff>
    </xdr:to>
    <xdr:sp macro="" textlink="">
      <xdr:nvSpPr>
        <xdr:cNvPr id="29" name="TextBox 28">
          <a:extLst>
            <a:ext uri="{FF2B5EF4-FFF2-40B4-BE49-F238E27FC236}">
              <a16:creationId xmlns:a16="http://schemas.microsoft.com/office/drawing/2014/main" id="{8E2F37F4-A8FC-94CF-5A74-780E448D0D65}"/>
            </a:ext>
          </a:extLst>
        </xdr:cNvPr>
        <xdr:cNvSpPr txBox="1"/>
      </xdr:nvSpPr>
      <xdr:spPr>
        <a:xfrm>
          <a:off x="2463094" y="678230"/>
          <a:ext cx="2636148" cy="425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latin typeface="Bell MT" panose="02020503060305020303" pitchFamily="18" charset="0"/>
            </a:rPr>
            <a:t>Monthly</a:t>
          </a:r>
          <a:r>
            <a:rPr lang="en-IN" sz="2000" baseline="0">
              <a:latin typeface="Bell MT" panose="02020503060305020303" pitchFamily="18" charset="0"/>
            </a:rPr>
            <a:t> Report</a:t>
          </a:r>
          <a:endParaRPr lang="en-IN" sz="2000">
            <a:latin typeface="Bell MT" panose="02020503060305020303" pitchFamily="18" charset="0"/>
          </a:endParaRPr>
        </a:p>
      </xdr:txBody>
    </xdr:sp>
    <xdr:clientData/>
  </xdr:twoCellAnchor>
  <xdr:twoCellAnchor>
    <xdr:from>
      <xdr:col>2</xdr:col>
      <xdr:colOff>374650</xdr:colOff>
      <xdr:row>6</xdr:row>
      <xdr:rowOff>19050</xdr:rowOff>
    </xdr:from>
    <xdr:to>
      <xdr:col>3</xdr:col>
      <xdr:colOff>298450</xdr:colOff>
      <xdr:row>7</xdr:row>
      <xdr:rowOff>57150</xdr:rowOff>
    </xdr:to>
    <xdr:sp macro="" textlink="'Pivot report'!A5">
      <xdr:nvSpPr>
        <xdr:cNvPr id="30" name="TextBox 29">
          <a:extLst>
            <a:ext uri="{FF2B5EF4-FFF2-40B4-BE49-F238E27FC236}">
              <a16:creationId xmlns:a16="http://schemas.microsoft.com/office/drawing/2014/main" id="{F2AA9E8B-BE2C-245A-3AFD-3A701C8AB77C}"/>
            </a:ext>
          </a:extLst>
        </xdr:cNvPr>
        <xdr:cNvSpPr txBox="1"/>
      </xdr:nvSpPr>
      <xdr:spPr>
        <a:xfrm>
          <a:off x="2201362" y="1532612"/>
          <a:ext cx="837156" cy="290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8563F5-B6C8-4FE6-9690-28856D8E4341}" type="TxLink">
            <a:rPr lang="en-US" sz="1600" b="0" i="0" u="none" strike="noStrike">
              <a:solidFill>
                <a:srgbClr val="000000"/>
              </a:solidFill>
              <a:latin typeface="Calisto MT"/>
            </a:rPr>
            <a:pPr algn="ctr"/>
            <a:t>513</a:t>
          </a:fld>
          <a:endParaRPr lang="en-US"/>
        </a:p>
      </xdr:txBody>
    </xdr:sp>
    <xdr:clientData/>
  </xdr:twoCellAnchor>
  <xdr:oneCellAnchor>
    <xdr:from>
      <xdr:col>1</xdr:col>
      <xdr:colOff>787400</xdr:colOff>
      <xdr:row>8</xdr:row>
      <xdr:rowOff>127000</xdr:rowOff>
    </xdr:from>
    <xdr:ext cx="184731" cy="264560"/>
    <xdr:sp macro="" textlink="">
      <xdr:nvSpPr>
        <xdr:cNvPr id="31" name="TextBox 30">
          <a:extLst>
            <a:ext uri="{FF2B5EF4-FFF2-40B4-BE49-F238E27FC236}">
              <a16:creationId xmlns:a16="http://schemas.microsoft.com/office/drawing/2014/main" id="{3F537BC8-9D27-80B3-9912-C1515F5A23E8}"/>
            </a:ext>
          </a:extLst>
        </xdr:cNvPr>
        <xdr:cNvSpPr txBox="1"/>
      </xdr:nvSpPr>
      <xdr:spPr>
        <a:xfrm>
          <a:off x="1701800" y="2159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0</xdr:colOff>
      <xdr:row>7</xdr:row>
      <xdr:rowOff>50800</xdr:rowOff>
    </xdr:from>
    <xdr:to>
      <xdr:col>3</xdr:col>
      <xdr:colOff>692150</xdr:colOff>
      <xdr:row>8</xdr:row>
      <xdr:rowOff>133350</xdr:rowOff>
    </xdr:to>
    <xdr:sp macro="" textlink="">
      <xdr:nvSpPr>
        <xdr:cNvPr id="32" name="TextBox 31">
          <a:hlinkClick xmlns:r="http://schemas.openxmlformats.org/officeDocument/2006/relationships" r:id="rId2"/>
          <a:extLst>
            <a:ext uri="{FF2B5EF4-FFF2-40B4-BE49-F238E27FC236}">
              <a16:creationId xmlns:a16="http://schemas.microsoft.com/office/drawing/2014/main" id="{6C1541FD-0AC5-BE3B-A960-9635430B7DAF}"/>
            </a:ext>
          </a:extLst>
        </xdr:cNvPr>
        <xdr:cNvSpPr txBox="1"/>
      </xdr:nvSpPr>
      <xdr:spPr>
        <a:xfrm>
          <a:off x="1828800" y="1828800"/>
          <a:ext cx="160655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Bell MT" panose="02020503060305020303" pitchFamily="18" charset="0"/>
            </a:rPr>
            <a:t>No.</a:t>
          </a:r>
          <a:r>
            <a:rPr lang="en-IN" sz="1400" baseline="0">
              <a:latin typeface="Bell MT" panose="02020503060305020303" pitchFamily="18" charset="0"/>
            </a:rPr>
            <a:t> of patient</a:t>
          </a:r>
          <a:endParaRPr lang="en-IN" sz="1400">
            <a:latin typeface="Bell MT" panose="02020503060305020303" pitchFamily="18" charset="0"/>
          </a:endParaRPr>
        </a:p>
      </xdr:txBody>
    </xdr:sp>
    <xdr:clientData/>
  </xdr:twoCellAnchor>
  <xdr:twoCellAnchor>
    <xdr:from>
      <xdr:col>4</xdr:col>
      <xdr:colOff>654050</xdr:colOff>
      <xdr:row>6</xdr:row>
      <xdr:rowOff>19050</xdr:rowOff>
    </xdr:from>
    <xdr:to>
      <xdr:col>5</xdr:col>
      <xdr:colOff>577850</xdr:colOff>
      <xdr:row>7</xdr:row>
      <xdr:rowOff>57150</xdr:rowOff>
    </xdr:to>
    <xdr:sp macro="" textlink="'Pivot report'!A9">
      <xdr:nvSpPr>
        <xdr:cNvPr id="33" name="TextBox 32">
          <a:extLst>
            <a:ext uri="{FF2B5EF4-FFF2-40B4-BE49-F238E27FC236}">
              <a16:creationId xmlns:a16="http://schemas.microsoft.com/office/drawing/2014/main" id="{5EB05FE9-1C0F-686A-8C3A-C96AFB76BA25}"/>
            </a:ext>
          </a:extLst>
        </xdr:cNvPr>
        <xdr:cNvSpPr txBox="1"/>
      </xdr:nvSpPr>
      <xdr:spPr>
        <a:xfrm>
          <a:off x="4311650" y="1543050"/>
          <a:ext cx="8382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BDCA27-4BC6-46B0-9698-51684B22A2A5}" type="TxLink">
            <a:rPr lang="en-US" sz="1600" b="0" i="0" u="none" strike="noStrike">
              <a:solidFill>
                <a:srgbClr val="000000"/>
              </a:solidFill>
              <a:latin typeface="Calisto MT"/>
            </a:rPr>
            <a:pPr algn="ctr"/>
            <a:t>36.32358674</a:t>
          </a:fld>
          <a:endParaRPr lang="en-US" sz="1600">
            <a:latin typeface="Aptos Display" panose="020B0004020202020204" pitchFamily="34" charset="0"/>
          </a:endParaRPr>
        </a:p>
      </xdr:txBody>
    </xdr:sp>
    <xdr:clientData/>
  </xdr:twoCellAnchor>
  <xdr:twoCellAnchor>
    <xdr:from>
      <xdr:col>4</xdr:col>
      <xdr:colOff>166768</xdr:colOff>
      <xdr:row>7</xdr:row>
      <xdr:rowOff>69850</xdr:rowOff>
    </xdr:from>
    <xdr:to>
      <xdr:col>6</xdr:col>
      <xdr:colOff>114300</xdr:colOff>
      <xdr:row>8</xdr:row>
      <xdr:rowOff>146050</xdr:rowOff>
    </xdr:to>
    <xdr:sp macro="" textlink="">
      <xdr:nvSpPr>
        <xdr:cNvPr id="34" name="TextBox 33">
          <a:extLst>
            <a:ext uri="{FF2B5EF4-FFF2-40B4-BE49-F238E27FC236}">
              <a16:creationId xmlns:a16="http://schemas.microsoft.com/office/drawing/2014/main" id="{2ED1E891-266E-9590-983A-7DF08EE6CD00}"/>
            </a:ext>
          </a:extLst>
        </xdr:cNvPr>
        <xdr:cNvSpPr txBox="1"/>
      </xdr:nvSpPr>
      <xdr:spPr>
        <a:xfrm>
          <a:off x="3835657" y="1865810"/>
          <a:ext cx="1781976" cy="332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Bell MT" panose="02020503060305020303" pitchFamily="18" charset="0"/>
            </a:rPr>
            <a:t>Average</a:t>
          </a:r>
          <a:r>
            <a:rPr lang="en-IN" sz="1400" baseline="0">
              <a:latin typeface="Bell MT" panose="02020503060305020303" pitchFamily="18" charset="0"/>
            </a:rPr>
            <a:t> Wait Time</a:t>
          </a:r>
          <a:endParaRPr lang="en-IN" sz="1400">
            <a:latin typeface="Bell MT" panose="02020503060305020303" pitchFamily="18" charset="0"/>
          </a:endParaRPr>
        </a:p>
      </xdr:txBody>
    </xdr:sp>
    <xdr:clientData/>
  </xdr:twoCellAnchor>
  <xdr:twoCellAnchor>
    <xdr:from>
      <xdr:col>7</xdr:col>
      <xdr:colOff>6350</xdr:colOff>
      <xdr:row>5</xdr:row>
      <xdr:rowOff>185965</xdr:rowOff>
    </xdr:from>
    <xdr:to>
      <xdr:col>7</xdr:col>
      <xdr:colOff>844550</xdr:colOff>
      <xdr:row>6</xdr:row>
      <xdr:rowOff>224065</xdr:rowOff>
    </xdr:to>
    <xdr:sp macro="" textlink="'Pivot report'!A13">
      <xdr:nvSpPr>
        <xdr:cNvPr id="35" name="TextBox 34">
          <a:extLst>
            <a:ext uri="{FF2B5EF4-FFF2-40B4-BE49-F238E27FC236}">
              <a16:creationId xmlns:a16="http://schemas.microsoft.com/office/drawing/2014/main" id="{82EF6288-AA56-AAEF-7AB3-EBA8CD467FF6}"/>
            </a:ext>
          </a:extLst>
        </xdr:cNvPr>
        <xdr:cNvSpPr txBox="1"/>
      </xdr:nvSpPr>
      <xdr:spPr>
        <a:xfrm>
          <a:off x="6419850" y="1455965"/>
          <a:ext cx="838200" cy="292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9B2496-A16D-40F7-83A2-B778458EB729}" type="TxLink">
            <a:rPr lang="en-US" sz="1600" b="0" i="0" u="none" strike="noStrike">
              <a:solidFill>
                <a:srgbClr val="000000"/>
              </a:solidFill>
              <a:latin typeface="Calisto MT"/>
            </a:rPr>
            <a:pPr algn="ctr"/>
            <a:t>4.959183673</a:t>
          </a:fld>
          <a:endParaRPr lang="en-IN" sz="1100"/>
        </a:p>
      </xdr:txBody>
    </xdr:sp>
    <xdr:clientData/>
  </xdr:twoCellAnchor>
  <xdr:twoCellAnchor>
    <xdr:from>
      <xdr:col>6</xdr:col>
      <xdr:colOff>474969</xdr:colOff>
      <xdr:row>6</xdr:row>
      <xdr:rowOff>176893</xdr:rowOff>
    </xdr:from>
    <xdr:to>
      <xdr:col>8</xdr:col>
      <xdr:colOff>372342</xdr:colOff>
      <xdr:row>8</xdr:row>
      <xdr:rowOff>240393</xdr:rowOff>
    </xdr:to>
    <xdr:sp macro="" textlink="">
      <xdr:nvSpPr>
        <xdr:cNvPr id="36" name="TextBox 35">
          <a:hlinkClick xmlns:r="http://schemas.openxmlformats.org/officeDocument/2006/relationships" r:id="rId3"/>
          <a:extLst>
            <a:ext uri="{FF2B5EF4-FFF2-40B4-BE49-F238E27FC236}">
              <a16:creationId xmlns:a16="http://schemas.microsoft.com/office/drawing/2014/main" id="{8B1CD128-88C9-0828-1C33-62B6F8ADB4F2}"/>
            </a:ext>
          </a:extLst>
        </xdr:cNvPr>
        <xdr:cNvSpPr txBox="1"/>
      </xdr:nvSpPr>
      <xdr:spPr>
        <a:xfrm>
          <a:off x="5972255" y="1700893"/>
          <a:ext cx="1729801"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Bell MT" panose="02020503060305020303" pitchFamily="18" charset="0"/>
            </a:rPr>
            <a:t>Patient</a:t>
          </a:r>
          <a:r>
            <a:rPr lang="en-IN" sz="1400" baseline="0">
              <a:latin typeface="Bell MT" panose="02020503060305020303" pitchFamily="18" charset="0"/>
            </a:rPr>
            <a:t> satisfaction Score</a:t>
          </a:r>
          <a:endParaRPr lang="en-IN" sz="1400">
            <a:latin typeface="Bell MT" panose="02020503060305020303" pitchFamily="18" charset="0"/>
          </a:endParaRPr>
        </a:p>
      </xdr:txBody>
    </xdr:sp>
    <xdr:clientData/>
  </xdr:twoCellAnchor>
  <xdr:twoCellAnchor editAs="oneCell">
    <xdr:from>
      <xdr:col>3</xdr:col>
      <xdr:colOff>437847</xdr:colOff>
      <xdr:row>5</xdr:row>
      <xdr:rowOff>182639</xdr:rowOff>
    </xdr:from>
    <xdr:to>
      <xdr:col>3</xdr:col>
      <xdr:colOff>850597</xdr:colOff>
      <xdr:row>7</xdr:row>
      <xdr:rowOff>87389</xdr:rowOff>
    </xdr:to>
    <xdr:pic>
      <xdr:nvPicPr>
        <xdr:cNvPr id="38" name="Graphic 37" descr="Male profile with solid fill">
          <a:extLst>
            <a:ext uri="{FF2B5EF4-FFF2-40B4-BE49-F238E27FC236}">
              <a16:creationId xmlns:a16="http://schemas.microsoft.com/office/drawing/2014/main" id="{6F1291B1-20A7-566A-524B-B20F721B8B5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77418" y="1452639"/>
          <a:ext cx="412750" cy="412750"/>
        </a:xfrm>
        <a:prstGeom prst="rect">
          <a:avLst/>
        </a:prstGeom>
      </xdr:spPr>
    </xdr:pic>
    <xdr:clientData/>
  </xdr:twoCellAnchor>
  <xdr:twoCellAnchor editAs="oneCell">
    <xdr:from>
      <xdr:col>8</xdr:col>
      <xdr:colOff>87690</xdr:colOff>
      <xdr:row>5</xdr:row>
      <xdr:rowOff>151191</xdr:rowOff>
    </xdr:from>
    <xdr:to>
      <xdr:col>8</xdr:col>
      <xdr:colOff>481390</xdr:colOff>
      <xdr:row>7</xdr:row>
      <xdr:rowOff>36891</xdr:rowOff>
    </xdr:to>
    <xdr:pic>
      <xdr:nvPicPr>
        <xdr:cNvPr id="40" name="Graphic 39" descr="Customer review with solid fill">
          <a:extLst>
            <a:ext uri="{FF2B5EF4-FFF2-40B4-BE49-F238E27FC236}">
              <a16:creationId xmlns:a16="http://schemas.microsoft.com/office/drawing/2014/main" id="{6FEAE8B6-40D1-2718-B954-4C2BCAD637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93214" y="1421191"/>
          <a:ext cx="393700" cy="393700"/>
        </a:xfrm>
        <a:prstGeom prst="rect">
          <a:avLst/>
        </a:prstGeom>
      </xdr:spPr>
    </xdr:pic>
    <xdr:clientData/>
  </xdr:twoCellAnchor>
  <xdr:twoCellAnchor editAs="oneCell">
    <xdr:from>
      <xdr:col>5</xdr:col>
      <xdr:colOff>767443</xdr:colOff>
      <xdr:row>5</xdr:row>
      <xdr:rowOff>170240</xdr:rowOff>
    </xdr:from>
    <xdr:to>
      <xdr:col>6</xdr:col>
      <xdr:colOff>221343</xdr:colOff>
      <xdr:row>7</xdr:row>
      <xdr:rowOff>30540</xdr:rowOff>
    </xdr:to>
    <xdr:pic>
      <xdr:nvPicPr>
        <xdr:cNvPr id="42" name="Graphic 41" descr="Hourglass Finished with solid fill">
          <a:extLst>
            <a:ext uri="{FF2B5EF4-FFF2-40B4-BE49-F238E27FC236}">
              <a16:creationId xmlns:a16="http://schemas.microsoft.com/office/drawing/2014/main" id="{C6C5A1F8-A9F8-3E45-9B60-40F3277577B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33395" y="1440240"/>
          <a:ext cx="367091" cy="368300"/>
        </a:xfrm>
        <a:prstGeom prst="rect">
          <a:avLst/>
        </a:prstGeom>
      </xdr:spPr>
    </xdr:pic>
    <xdr:clientData/>
  </xdr:twoCellAnchor>
  <xdr:twoCellAnchor editAs="oneCell">
    <xdr:from>
      <xdr:col>0</xdr:col>
      <xdr:colOff>347947</xdr:colOff>
      <xdr:row>5</xdr:row>
      <xdr:rowOff>220403</xdr:rowOff>
    </xdr:from>
    <xdr:to>
      <xdr:col>1</xdr:col>
      <xdr:colOff>603725</xdr:colOff>
      <xdr:row>21</xdr:row>
      <xdr:rowOff>111362</xdr:rowOff>
    </xdr:to>
    <mc:AlternateContent xmlns:mc="http://schemas.openxmlformats.org/markup-compatibility/2006">
      <mc:Choice xmlns:a14="http://schemas.microsoft.com/office/drawing/2010/main" Requires="a14">
        <xdr:graphicFrame macro="">
          <xdr:nvGraphicFramePr>
            <xdr:cNvPr id="44" name="date (Month) 1">
              <a:extLst>
                <a:ext uri="{FF2B5EF4-FFF2-40B4-BE49-F238E27FC236}">
                  <a16:creationId xmlns:a16="http://schemas.microsoft.com/office/drawing/2014/main" id="{463A7EB8-58F9-44A7-B914-20207DEC2EE8}"/>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347947" y="1490403"/>
              <a:ext cx="1167869" cy="395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288158</xdr:colOff>
      <xdr:row>6</xdr:row>
      <xdr:rowOff>99024</xdr:rowOff>
    </xdr:from>
    <xdr:to>
      <xdr:col>8</xdr:col>
      <xdr:colOff>519580</xdr:colOff>
      <xdr:row>10</xdr:row>
      <xdr:rowOff>181501</xdr:rowOff>
    </xdr:to>
    <xdr:graphicFrame macro="">
      <xdr:nvGraphicFramePr>
        <xdr:cNvPr id="2" name="Chart 1" hidden="1">
          <a:hlinkClick xmlns:r="http://schemas.openxmlformats.org/officeDocument/2006/relationships" r:id="rId10"/>
          <a:extLst>
            <a:ext uri="{FF2B5EF4-FFF2-40B4-BE49-F238E27FC236}">
              <a16:creationId xmlns:a16="http://schemas.microsoft.com/office/drawing/2014/main" id="{C7C2D795-6563-4283-8976-22C9EB88B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768349</xdr:colOff>
      <xdr:row>4</xdr:row>
      <xdr:rowOff>196849</xdr:rowOff>
    </xdr:from>
    <xdr:to>
      <xdr:col>6</xdr:col>
      <xdr:colOff>202543</xdr:colOff>
      <xdr:row>10</xdr:row>
      <xdr:rowOff>114957</xdr:rowOff>
    </xdr:to>
    <xdr:graphicFrame macro="">
      <xdr:nvGraphicFramePr>
        <xdr:cNvPr id="14" name="Chart 13" hidden="1">
          <a:extLst>
            <a:ext uri="{FF2B5EF4-FFF2-40B4-BE49-F238E27FC236}">
              <a16:creationId xmlns:a16="http://schemas.microsoft.com/office/drawing/2014/main" id="{1FDEC051-5C1D-4DA4-AFA5-018699C2E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664380</xdr:colOff>
      <xdr:row>5</xdr:row>
      <xdr:rowOff>22902</xdr:rowOff>
    </xdr:from>
    <xdr:to>
      <xdr:col>3</xdr:col>
      <xdr:colOff>850321</xdr:colOff>
      <xdr:row>10</xdr:row>
      <xdr:rowOff>96080</xdr:rowOff>
    </xdr:to>
    <xdr:graphicFrame macro="">
      <xdr:nvGraphicFramePr>
        <xdr:cNvPr id="16" name="Chart 15">
          <a:extLst>
            <a:ext uri="{FF2B5EF4-FFF2-40B4-BE49-F238E27FC236}">
              <a16:creationId xmlns:a16="http://schemas.microsoft.com/office/drawing/2014/main" id="{219C907F-5C00-48A8-A3E0-EC7B54457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146244</xdr:colOff>
      <xdr:row>8</xdr:row>
      <xdr:rowOff>80892</xdr:rowOff>
    </xdr:from>
    <xdr:to>
      <xdr:col>6</xdr:col>
      <xdr:colOff>198185</xdr:colOff>
      <xdr:row>10</xdr:row>
      <xdr:rowOff>90714</xdr:rowOff>
    </xdr:to>
    <xdr:graphicFrame macro="">
      <xdr:nvGraphicFramePr>
        <xdr:cNvPr id="3" name="Chart 2">
          <a:hlinkClick xmlns:r="http://schemas.openxmlformats.org/officeDocument/2006/relationships" r:id="rId14"/>
          <a:extLst>
            <a:ext uri="{FF2B5EF4-FFF2-40B4-BE49-F238E27FC236}">
              <a16:creationId xmlns:a16="http://schemas.microsoft.com/office/drawing/2014/main" id="{29B3AB1D-4246-4DA3-B3AE-FE893341A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425483</xdr:colOff>
      <xdr:row>8</xdr:row>
      <xdr:rowOff>99787</xdr:rowOff>
    </xdr:from>
    <xdr:to>
      <xdr:col>8</xdr:col>
      <xdr:colOff>458247</xdr:colOff>
      <xdr:row>10</xdr:row>
      <xdr:rowOff>87031</xdr:rowOff>
    </xdr:to>
    <xdr:graphicFrame macro="">
      <xdr:nvGraphicFramePr>
        <xdr:cNvPr id="4" name="Chart 3">
          <a:extLst>
            <a:ext uri="{FF2B5EF4-FFF2-40B4-BE49-F238E27FC236}">
              <a16:creationId xmlns:a16="http://schemas.microsoft.com/office/drawing/2014/main" id="{FB3BA19B-7EA9-4AF7-A89C-985D1472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777551</xdr:colOff>
          <xdr:row>11</xdr:row>
          <xdr:rowOff>26096</xdr:rowOff>
        </xdr:from>
        <xdr:to>
          <xdr:col>8</xdr:col>
          <xdr:colOff>479489</xdr:colOff>
          <xdr:row>14</xdr:row>
          <xdr:rowOff>139178</xdr:rowOff>
        </xdr:to>
        <xdr:pic>
          <xdr:nvPicPr>
            <xdr:cNvPr id="23" name="Picture 22">
              <a:extLst>
                <a:ext uri="{FF2B5EF4-FFF2-40B4-BE49-F238E27FC236}">
                  <a16:creationId xmlns:a16="http://schemas.microsoft.com/office/drawing/2014/main" id="{8EFDE5E5-3B76-20BB-F467-92AD7A74DCD6}"/>
                </a:ext>
              </a:extLst>
            </xdr:cNvPr>
            <xdr:cNvPicPr>
              <a:picLocks noChangeAspect="1" noChangeArrowheads="1"/>
              <a:extLst>
                <a:ext uri="{84589F7E-364E-4C9E-8A38-B11213B215E9}">
                  <a14:cameraTool cellRange="'Pivot report'!$A$23:$D$25" spid="_x0000_s3134"/>
                </a:ext>
              </a:extLst>
            </xdr:cNvPicPr>
          </xdr:nvPicPr>
          <xdr:blipFill>
            <a:blip xmlns:r="http://schemas.openxmlformats.org/officeDocument/2006/relationships" r:embed="rId17"/>
            <a:srcRect/>
            <a:stretch>
              <a:fillRect/>
            </a:stretch>
          </xdr:blipFill>
          <xdr:spPr bwMode="auto">
            <a:xfrm>
              <a:off x="1690907" y="2800959"/>
              <a:ext cx="6095431" cy="869863"/>
            </a:xfrm>
            <a:prstGeom prst="rect">
              <a:avLst/>
            </a:prstGeom>
            <a:ln>
              <a:noFill/>
            </a:ln>
            <a:effectLst>
              <a:outerShdw blurRad="292100" dist="139700" dir="2700000" algn="tl" rotWithShape="0">
                <a:srgbClr val="333333">
                  <a:alpha val="65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768415</xdr:colOff>
      <xdr:row>15</xdr:row>
      <xdr:rowOff>30726</xdr:rowOff>
    </xdr:from>
    <xdr:to>
      <xdr:col>8</xdr:col>
      <xdr:colOff>481370</xdr:colOff>
      <xdr:row>20</xdr:row>
      <xdr:rowOff>105834</xdr:rowOff>
    </xdr:to>
    <xdr:graphicFrame macro="">
      <xdr:nvGraphicFramePr>
        <xdr:cNvPr id="25" name="Chart 24">
          <a:extLst>
            <a:ext uri="{FF2B5EF4-FFF2-40B4-BE49-F238E27FC236}">
              <a16:creationId xmlns:a16="http://schemas.microsoft.com/office/drawing/2014/main" id="{8CE2FE04-01B7-4CD5-876E-D60E4E1BA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789312</xdr:colOff>
      <xdr:row>20</xdr:row>
      <xdr:rowOff>74083</xdr:rowOff>
    </xdr:from>
    <xdr:to>
      <xdr:col>6</xdr:col>
      <xdr:colOff>195279</xdr:colOff>
      <xdr:row>21</xdr:row>
      <xdr:rowOff>87740</xdr:rowOff>
    </xdr:to>
    <xdr:sp macro="" textlink="">
      <xdr:nvSpPr>
        <xdr:cNvPr id="26" name="TextBox 25">
          <a:extLst>
            <a:ext uri="{FF2B5EF4-FFF2-40B4-BE49-F238E27FC236}">
              <a16:creationId xmlns:a16="http://schemas.microsoft.com/office/drawing/2014/main" id="{4AF7D7BD-2377-215E-3D1A-9C66DF133333}"/>
            </a:ext>
          </a:extLst>
        </xdr:cNvPr>
        <xdr:cNvSpPr txBox="1"/>
      </xdr:nvSpPr>
      <xdr:spPr>
        <a:xfrm>
          <a:off x="3519812" y="5154083"/>
          <a:ext cx="2136467" cy="267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Bell MT" panose="02020503060305020303" pitchFamily="18" charset="0"/>
            </a:rPr>
            <a:t>No of Patient by Age Group</a:t>
          </a:r>
        </a:p>
      </xdr:txBody>
    </xdr:sp>
    <xdr:clientData/>
  </xdr:twoCellAnchor>
  <xdr:twoCellAnchor editAs="oneCell">
    <xdr:from>
      <xdr:col>1</xdr:col>
      <xdr:colOff>774700</xdr:colOff>
      <xdr:row>10</xdr:row>
      <xdr:rowOff>203200</xdr:rowOff>
    </xdr:from>
    <xdr:to>
      <xdr:col>8</xdr:col>
      <xdr:colOff>476250</xdr:colOff>
      <xdr:row>14</xdr:row>
      <xdr:rowOff>133350</xdr:rowOff>
    </xdr:to>
    <xdr:sp macro="" textlink="">
      <xdr:nvSpPr>
        <xdr:cNvPr id="3078" name="AutoShape 6">
          <a:extLst>
            <a:ext uri="{FF2B5EF4-FFF2-40B4-BE49-F238E27FC236}">
              <a16:creationId xmlns:a16="http://schemas.microsoft.com/office/drawing/2014/main" id="{0D518ED9-1512-F898-2779-25C37C45242D}"/>
            </a:ext>
          </a:extLst>
        </xdr:cNvPr>
        <xdr:cNvSpPr>
          <a:spLocks noChangeAspect="1" noChangeArrowheads="1"/>
        </xdr:cNvSpPr>
      </xdr:nvSpPr>
      <xdr:spPr bwMode="auto">
        <a:xfrm>
          <a:off x="1689100" y="2743200"/>
          <a:ext cx="6102350" cy="946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682477</xdr:colOff>
      <xdr:row>0</xdr:row>
      <xdr:rowOff>225513</xdr:rowOff>
    </xdr:from>
    <xdr:to>
      <xdr:col>10</xdr:col>
      <xdr:colOff>521917</xdr:colOff>
      <xdr:row>7</xdr:row>
      <xdr:rowOff>236976</xdr:rowOff>
    </xdr:to>
    <xdr:graphicFrame macro="">
      <xdr:nvGraphicFramePr>
        <xdr:cNvPr id="5" name="Chart 4">
          <a:extLst>
            <a:ext uri="{FF2B5EF4-FFF2-40B4-BE49-F238E27FC236}">
              <a16:creationId xmlns:a16="http://schemas.microsoft.com/office/drawing/2014/main" id="{3D2963B1-A621-4ABC-80D9-7A76A1406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651466</xdr:colOff>
      <xdr:row>6</xdr:row>
      <xdr:rowOff>228681</xdr:rowOff>
    </xdr:from>
    <xdr:to>
      <xdr:col>10</xdr:col>
      <xdr:colOff>574318</xdr:colOff>
      <xdr:row>9</xdr:row>
      <xdr:rowOff>134758</xdr:rowOff>
    </xdr:to>
    <xdr:sp macro="" textlink="">
      <xdr:nvSpPr>
        <xdr:cNvPr id="15" name="TextBox 14">
          <a:extLst>
            <a:ext uri="{FF2B5EF4-FFF2-40B4-BE49-F238E27FC236}">
              <a16:creationId xmlns:a16="http://schemas.microsoft.com/office/drawing/2014/main" id="{E6ACD187-7930-966B-66A6-605142C50782}"/>
            </a:ext>
          </a:extLst>
        </xdr:cNvPr>
        <xdr:cNvSpPr txBox="1"/>
      </xdr:nvSpPr>
      <xdr:spPr>
        <a:xfrm>
          <a:off x="7969280" y="1747781"/>
          <a:ext cx="1752305" cy="665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latin typeface="Bell MT" panose="02020503060305020303" pitchFamily="18" charset="0"/>
            </a:rPr>
            <a:t>Patient</a:t>
          </a:r>
          <a:r>
            <a:rPr lang="en-IN" sz="900" b="1" baseline="0">
              <a:latin typeface="Bell MT" panose="02020503060305020303" pitchFamily="18" charset="0"/>
            </a:rPr>
            <a:t> attended within time</a:t>
          </a:r>
          <a:endParaRPr lang="en-IN" sz="900" b="1">
            <a:latin typeface="Bell MT" panose="02020503060305020303" pitchFamily="18" charset="0"/>
          </a:endParaRPr>
        </a:p>
      </xdr:txBody>
    </xdr:sp>
    <xdr:clientData/>
  </xdr:twoCellAnchor>
  <xdr:twoCellAnchor>
    <xdr:from>
      <xdr:col>10</xdr:col>
      <xdr:colOff>585196</xdr:colOff>
      <xdr:row>0</xdr:row>
      <xdr:rowOff>112058</xdr:rowOff>
    </xdr:from>
    <xdr:to>
      <xdr:col>12</xdr:col>
      <xdr:colOff>566519</xdr:colOff>
      <xdr:row>8</xdr:row>
      <xdr:rowOff>80930</xdr:rowOff>
    </xdr:to>
    <xdr:graphicFrame macro="">
      <xdr:nvGraphicFramePr>
        <xdr:cNvPr id="17" name="Chart 16">
          <a:extLst>
            <a:ext uri="{FF2B5EF4-FFF2-40B4-BE49-F238E27FC236}">
              <a16:creationId xmlns:a16="http://schemas.microsoft.com/office/drawing/2014/main" id="{36B84006-DF9C-48DA-B301-D69A77F119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747058</xdr:colOff>
      <xdr:row>6</xdr:row>
      <xdr:rowOff>192990</xdr:rowOff>
    </xdr:from>
    <xdr:to>
      <xdr:col>12</xdr:col>
      <xdr:colOff>466911</xdr:colOff>
      <xdr:row>7</xdr:row>
      <xdr:rowOff>199215</xdr:rowOff>
    </xdr:to>
    <xdr:sp macro="" textlink="">
      <xdr:nvSpPr>
        <xdr:cNvPr id="22" name="TextBox 21">
          <a:extLst>
            <a:ext uri="{FF2B5EF4-FFF2-40B4-BE49-F238E27FC236}">
              <a16:creationId xmlns:a16="http://schemas.microsoft.com/office/drawing/2014/main" id="{B1A61629-11AC-FA64-E3E1-AA98D80ABF15}"/>
            </a:ext>
          </a:extLst>
        </xdr:cNvPr>
        <xdr:cNvSpPr txBox="1"/>
      </xdr:nvSpPr>
      <xdr:spPr>
        <a:xfrm>
          <a:off x="9898529" y="1724461"/>
          <a:ext cx="1550147" cy="26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Bell MT" panose="02020503060305020303" pitchFamily="18" charset="0"/>
            </a:rPr>
            <a:t>Gender Wise Analysis</a:t>
          </a:r>
        </a:p>
      </xdr:txBody>
    </xdr:sp>
    <xdr:clientData/>
  </xdr:twoCellAnchor>
  <xdr:twoCellAnchor>
    <xdr:from>
      <xdr:col>8</xdr:col>
      <xdr:colOff>689742</xdr:colOff>
      <xdr:row>8</xdr:row>
      <xdr:rowOff>170700</xdr:rowOff>
    </xdr:from>
    <xdr:to>
      <xdr:col>12</xdr:col>
      <xdr:colOff>602155</xdr:colOff>
      <xdr:row>20</xdr:row>
      <xdr:rowOff>198011</xdr:rowOff>
    </xdr:to>
    <xdr:graphicFrame macro="">
      <xdr:nvGraphicFramePr>
        <xdr:cNvPr id="27" name="Chart 26">
          <a:extLst>
            <a:ext uri="{FF2B5EF4-FFF2-40B4-BE49-F238E27FC236}">
              <a16:creationId xmlns:a16="http://schemas.microsoft.com/office/drawing/2014/main" id="{12A14C03-4C3A-4018-9871-423128E1B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826184</xdr:colOff>
      <xdr:row>20</xdr:row>
      <xdr:rowOff>68279</xdr:rowOff>
    </xdr:from>
    <xdr:to>
      <xdr:col>12</xdr:col>
      <xdr:colOff>751075</xdr:colOff>
      <xdr:row>22</xdr:row>
      <xdr:rowOff>20483</xdr:rowOff>
    </xdr:to>
    <xdr:sp macro="" textlink="">
      <xdr:nvSpPr>
        <xdr:cNvPr id="37" name="TextBox 36">
          <a:extLst>
            <a:ext uri="{FF2B5EF4-FFF2-40B4-BE49-F238E27FC236}">
              <a16:creationId xmlns:a16="http://schemas.microsoft.com/office/drawing/2014/main" id="{60CD3FFA-04BC-27DE-BE88-89E9EA96B34C}"/>
            </a:ext>
          </a:extLst>
        </xdr:cNvPr>
        <xdr:cNvSpPr txBox="1"/>
      </xdr:nvSpPr>
      <xdr:spPr>
        <a:xfrm>
          <a:off x="8145754" y="5120967"/>
          <a:ext cx="3584676" cy="45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Bell MT" panose="02020503060305020303" pitchFamily="18" charset="0"/>
            </a:rPr>
            <a:t>No of</a:t>
          </a:r>
          <a:r>
            <a:rPr lang="en-IN" sz="1400" b="1" baseline="0">
              <a:latin typeface="Bell MT" panose="02020503060305020303" pitchFamily="18" charset="0"/>
            </a:rPr>
            <a:t> Patient By Department Referal</a:t>
          </a:r>
          <a:endParaRPr lang="en-IN" sz="1400" b="1">
            <a:latin typeface="Bell MT" panose="02020503060305020303" pitchFamily="18" charset="0"/>
          </a:endParaRPr>
        </a:p>
      </xdr:txBody>
    </xdr:sp>
    <xdr:clientData/>
  </xdr:twoCellAnchor>
  <xdr:twoCellAnchor editAs="oneCell">
    <xdr:from>
      <xdr:col>6</xdr:col>
      <xdr:colOff>544285</xdr:colOff>
      <xdr:row>0</xdr:row>
      <xdr:rowOff>229810</xdr:rowOff>
    </xdr:from>
    <xdr:to>
      <xdr:col>8</xdr:col>
      <xdr:colOff>473225</xdr:colOff>
      <xdr:row>4</xdr:row>
      <xdr:rowOff>114905</xdr:rowOff>
    </xdr:to>
    <mc:AlternateContent xmlns:mc="http://schemas.openxmlformats.org/markup-compatibility/2006">
      <mc:Choice xmlns:a14="http://schemas.microsoft.com/office/drawing/2010/main" Requires="a14">
        <xdr:graphicFrame macro="">
          <xdr:nvGraphicFramePr>
            <xdr:cNvPr id="39" name="date (Year)">
              <a:extLst>
                <a:ext uri="{FF2B5EF4-FFF2-40B4-BE49-F238E27FC236}">
                  <a16:creationId xmlns:a16="http://schemas.microsoft.com/office/drawing/2014/main" id="{FE8F618B-6E99-4A63-857E-EA7AA9DF04E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016830" y="229810"/>
              <a:ext cx="1753122" cy="901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44450</xdr:colOff>
      <xdr:row>13</xdr:row>
      <xdr:rowOff>101600</xdr:rowOff>
    </xdr:to>
    <xdr:graphicFrame macro="">
      <xdr:nvGraphicFramePr>
        <xdr:cNvPr id="2" name="Chart 1">
          <a:extLst>
            <a:ext uri="{FF2B5EF4-FFF2-40B4-BE49-F238E27FC236}">
              <a16:creationId xmlns:a16="http://schemas.microsoft.com/office/drawing/2014/main" id="{1D026A64-B94D-4DB1-909E-2A7439771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0.03444</cdr:x>
      <cdr:y>0.00746</cdr:y>
    </cdr:from>
    <cdr:to>
      <cdr:x>0.09483</cdr:x>
      <cdr:y>0.16418</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76F8A1F-E8D2-D3F8-A9A4-C4DC587CB72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16459" y="25400"/>
          <a:ext cx="554897" cy="533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xdr:row>
      <xdr:rowOff>63500</xdr:rowOff>
    </xdr:from>
    <xdr:to>
      <xdr:col>9</xdr:col>
      <xdr:colOff>869950</xdr:colOff>
      <xdr:row>16</xdr:row>
      <xdr:rowOff>215900</xdr:rowOff>
    </xdr:to>
    <xdr:graphicFrame macro="">
      <xdr:nvGraphicFramePr>
        <xdr:cNvPr id="2" name="Chart 1">
          <a:extLst>
            <a:ext uri="{FF2B5EF4-FFF2-40B4-BE49-F238E27FC236}">
              <a16:creationId xmlns:a16="http://schemas.microsoft.com/office/drawing/2014/main" id="{B066623F-1FD8-4BD2-AF24-2E7448E10B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0.04065</cdr:x>
      <cdr:y>0</cdr:y>
    </cdr:from>
    <cdr:to>
      <cdr:x>0.10279</cdr:x>
      <cdr:y>0.13509</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431870D-27BA-AA8E-6995-386215B7AB5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69835" y="0"/>
          <a:ext cx="565220" cy="529632"/>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842211</xdr:colOff>
      <xdr:row>16</xdr:row>
      <xdr:rowOff>13368</xdr:rowOff>
    </xdr:to>
    <xdr:graphicFrame macro="">
      <xdr:nvGraphicFramePr>
        <xdr:cNvPr id="2" name="Chart 1">
          <a:extLst>
            <a:ext uri="{FF2B5EF4-FFF2-40B4-BE49-F238E27FC236}">
              <a16:creationId xmlns:a16="http://schemas.microsoft.com/office/drawing/2014/main" id="{8061DDA7-CB89-4AA2-9240-E59484EEE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0.01008</cdr:x>
      <cdr:y>0.07643</cdr:y>
    </cdr:from>
    <cdr:to>
      <cdr:x>0.05819</cdr:x>
      <cdr:y>0.18791</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EA5D614-C6F8-208F-BC46-803008795C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3527" y="240631"/>
          <a:ext cx="350947" cy="350947"/>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5069446" createdVersion="5" refreshedVersion="8" minRefreshableVersion="3" recordCount="0" supportSubquery="1" supportAdvancedDrill="1" xr:uid="{72428399-F456-4735-9830-01B546976711}">
  <cacheSource type="external" connectionId="3"/>
  <cacheFields count="4">
    <cacheField name="[Measures].[Distinct Count of Patient Id]" caption="Distinct Count of Patient Id" numFmtId="0" hierarchy="24" level="32767"/>
    <cacheField name="[Query1].[date (Day)].[date (Day)]" caption="date (Day)" numFmtId="0" hierarchy="15"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2"/>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1"/>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541667" createdVersion="5" refreshedVersion="8" minRefreshableVersion="3" recordCount="0" supportSubquery="1" supportAdvancedDrill="1" xr:uid="{419BD851-F839-4961-A9F9-8C2333D455E1}">
  <cacheSource type="external" connectionId="3"/>
  <cacheFields count="3">
    <cacheField name="[Measures].[Distinct Count of Patient Id]" caption="Distinct Count of Patient Id" numFmtId="0" hierarchy="24"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5648147" createdVersion="5" refreshedVersion="8" minRefreshableVersion="3" recordCount="0" supportSubquery="1" supportAdvancedDrill="1" xr:uid="{F22E2C0B-14F6-4625-8DDE-C7E6BF3D7C18}">
  <cacheSource type="external" connectionId="3"/>
  <cacheFields count="3">
    <cacheField name="[Measures].[Average of Patient Waittime]" caption="Average of Patient Waittime" numFmtId="0" hierarchy="26"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6574071" createdVersion="5" refreshedVersion="8" minRefreshableVersion="3" recordCount="0" supportSubquery="1" supportAdvancedDrill="1" xr:uid="{7E7F7EFE-ADA0-4B44-8011-2A7C36B70BFA}">
  <cacheSource type="external" connectionId="3"/>
  <cacheFields count="3">
    <cacheField name="[Measures].[Average of Patient Satisfaction Score]" caption="Average of Patient Satisfaction Score" numFmtId="0" hierarchy="28" level="32767"/>
    <cacheField name="[Query1].[date (Month)].[date (Month)]" caption="date (Month)" numFmtId="0" hierarchy="14" level="1">
      <sharedItems containsSemiMixedTypes="0" containsNonDate="0" containsString="0"/>
    </cacheField>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2"/>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7847225" createdVersion="5" refreshedVersion="8" minRefreshableVersion="3" recordCount="0" supportSubquery="1" supportAdvancedDrill="1" xr:uid="{2AA60EC1-6B0B-4427-8967-C4B5022E78D4}">
  <cacheSource type="external" connectionId="3"/>
  <cacheFields count="4">
    <cacheField name="[Query1].[date (Day)].[date (Day)]" caption="date (Day)" numFmtId="0" hierarchy="15" level="1">
      <sharedItems count="61">
        <s v="1-Jan"/>
        <s v="2-Jan"/>
        <s v="3-Jan"/>
        <s v="4-Jan"/>
        <s v="5-Jan"/>
        <s v="6-Jan"/>
        <s v="7-Jan"/>
        <s v="8-Jan"/>
        <s v="9-Jan"/>
        <s v="10-Jan"/>
        <s v="11-Jan"/>
        <s v="12-Jan"/>
        <s v="13-Jan"/>
        <s v="14-Jan"/>
        <s v="15-Jan"/>
        <s v="16-Jan"/>
        <s v="17-Jan"/>
        <s v="18-Jan"/>
        <s v="19-Jan"/>
        <s v="20-Jan"/>
        <s v="21-Jan"/>
        <s v="22-Jan"/>
        <s v="23-Jan"/>
        <s v="24-Jan"/>
        <s v="25-Jan"/>
        <s v="26-Jan"/>
        <s v="27-Jan"/>
        <s v="28-Jan"/>
        <s v="29-Jan"/>
        <s v="30-Jan"/>
        <s v="31-Jan"/>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Query1].[date (Month)].[date (Month)]" caption="date (Month)" numFmtId="0" hierarchy="14" level="1">
      <sharedItems containsSemiMixedTypes="0" containsNonDate="0" containsString="0"/>
    </cacheField>
    <cacheField name="[Measures].[Average of Patient Waittime]" caption="Average of Patient Waittime" numFmtId="0" hierarchy="26"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8425926" createdVersion="5" refreshedVersion="8" minRefreshableVersion="3" recordCount="0" supportSubquery="1" supportAdvancedDrill="1" xr:uid="{EC02FF9E-9871-4A16-B3E7-5B02CD06F8CC}">
  <cacheSource type="external" connectionId="3"/>
  <cacheFields count="4">
    <cacheField name="[Query1].[date (Day)].[date (Day)]" caption="date (Day)" numFmtId="0" hierarchy="15" level="1">
      <sharedItems count="61">
        <s v="1-Jan"/>
        <s v="2-Jan"/>
        <s v="3-Jan"/>
        <s v="4-Jan"/>
        <s v="5-Jan"/>
        <s v="6-Jan"/>
        <s v="7-Jan"/>
        <s v="8-Jan"/>
        <s v="9-Jan"/>
        <s v="10-Jan"/>
        <s v="11-Jan"/>
        <s v="12-Jan"/>
        <s v="13-Jan"/>
        <s v="14-Jan"/>
        <s v="15-Jan"/>
        <s v="16-Jan"/>
        <s v="17-Jan"/>
        <s v="18-Jan"/>
        <s v="19-Jan"/>
        <s v="20-Jan"/>
        <s v="21-Jan"/>
        <s v="22-Jan"/>
        <s v="23-Jan"/>
        <s v="24-Jan"/>
        <s v="25-Jan"/>
        <s v="26-Jan"/>
        <s v="27-Jan"/>
        <s v="28-Jan"/>
        <s v="29-Jan"/>
        <s v="30-Jan"/>
        <s v="31-Jan"/>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Query1].[date (Month)].[date (Month)]" caption="date (Month)" numFmtId="0" hierarchy="14" level="1">
      <sharedItems containsSemiMixedTypes="0" containsNonDate="0" containsString="0"/>
    </cacheField>
    <cacheField name="[Measures].[Average of Patient Satisfaction Score]" caption="Average of Patient Satisfaction Score" numFmtId="0" hierarchy="28"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1"/>
      </fieldsUsage>
    </cacheHierarchy>
    <cacheHierarchy uniqueName="[Query1].[date (Day)]" caption="date (Day)" attribute="1" defaultMemberUniqueName="[Query1].[date (Day)].[All]" allUniqueName="[Query1].[date (Day)].[All]" dimensionUniqueName="[Query1]" displayFolder="" count="2" memberValueDatatype="130" unbalanced="0">
      <fieldsUsage count="2">
        <fieldUsage x="-1"/>
        <fieldUsage x="0"/>
      </fieldsUsage>
    </cacheHierarchy>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89004626" createdVersion="5" refreshedVersion="8" minRefreshableVersion="3" recordCount="0" supportSubquery="1" supportAdvancedDrill="1" xr:uid="{B0341ABB-74B2-48A0-83E9-38FC7F8E3A0B}">
  <cacheSource type="external" connectionId="3"/>
  <cacheFields count="5">
    <cacheField name="[Query1].[date (Month)].[date (Month)]" caption="date (Month)" numFmtId="0" hierarchy="14"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8" level="1">
      <sharedItems count="2">
        <s v="admitted"/>
        <s v="not admitted"/>
      </sharedItems>
    </cacheField>
    <cacheField name="[Query1].[date (Year)].[date (Year)]" caption="date (Year)" numFmtId="0" hierarchy="16"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y uniqueName="Unsupported0" caption="Patient Id" measure="1" count="0">
      <extLst>
        <ext xmlns:x14="http://schemas.microsoft.com/office/spreadsheetml/2009/9/main" uri="{8CF416AD-EC4C-4aba-99F5-12A058AE0983}">
          <x14:cacheHierarchy ignore="1"/>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90393519" createdVersion="5" refreshedVersion="8" minRefreshableVersion="3" recordCount="0" supportSubquery="1" supportAdvancedDrill="1" xr:uid="{39F262BA-0B88-4ECA-9470-53F4E56036B3}">
  <cacheSource type="external" connectionId="3"/>
  <cacheFields count="4">
    <cacheField name="[Query1].[date (Month)].[date (Month)]" caption="date (Month)" numFmtId="0" hierarchy="14" level="1">
      <sharedItems containsSemiMixedTypes="0" containsNonDate="0" containsString="0"/>
    </cacheField>
    <cacheField name="[Hospital Emergency Room Data].[Age Group].[Age Group]" caption="Age Group" numFmtId="0" hierarchy="11" level="1">
      <sharedItems count="8">
        <s v="0-09"/>
        <s v="10-19"/>
        <s v="20-29"/>
        <s v="30-39"/>
        <s v="40-49"/>
        <s v="50-59"/>
        <s v="60-69"/>
        <s v="70-79"/>
      </sharedItems>
    </cacheField>
    <cacheField name="[Measures].[Count of Age Group]" caption="Count of Age Group" numFmtId="0" hierarchy="30"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91666666" createdVersion="5" refreshedVersion="8" minRefreshableVersion="3" recordCount="0" supportSubquery="1" supportAdvancedDrill="1" xr:uid="{80D09A37-5E70-4E5B-B69F-86DA350EF05F}">
  <cacheSource type="external" connectionId="3"/>
  <cacheFields count="4">
    <cacheField name="[Query1].[date (Month)].[date (Month)]" caption="date (Month)" numFmtId="0" hierarchy="14" level="1">
      <sharedItems containsSemiMixedTypes="0" containsNonDate="0" containsString="0"/>
    </cacheField>
    <cacheField name="[Hospital Emergency Room Data].[Patient attend status].[Patient attend status]" caption="Patient attend status" numFmtId="0" hierarchy="12" level="1">
      <sharedItems count="2">
        <s v="delay"/>
        <s v="ontime"/>
      </sharedItems>
    </cacheField>
    <cacheField name="[Measures].[Count of Patient attend status]" caption="Count of Patient attend status" numFmtId="0" hierarchy="31"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92939813" createdVersion="5" refreshedVersion="8" minRefreshableVersion="3" recordCount="0" supportSubquery="1" supportAdvancedDrill="1" xr:uid="{A46C5308-AEEF-4CB4-875A-E76C6D144FBC}">
  <cacheSource type="external" connectionId="3"/>
  <cacheFields count="4">
    <cacheField name="[Query1].[date (Month)].[date (Month)]" caption="date (Month)" numFmtId="0" hierarchy="14" level="1">
      <sharedItems containsSemiMixedTypes="0" containsNonDate="0" containsString="0"/>
    </cacheField>
    <cacheField name="[Hospital Emergency Room Data].[Patient Gender].[Patient Gender]" caption="Patient Gender" numFmtId="0" hierarchy="4" level="1">
      <sharedItems count="2">
        <s v="Female"/>
        <s v="Male"/>
      </sharedItems>
    </cacheField>
    <cacheField name="[Measures].[Count of Patient Gender]" caption="Count of Patient Gender" numFmtId="0" hierarchy="32"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94444445" createdVersion="5" refreshedVersion="8" minRefreshableVersion="3" recordCount="0" supportSubquery="1" supportAdvancedDrill="1" xr:uid="{183B50B4-5609-4082-9523-D9C79FC977C8}">
  <cacheSource type="external" connectionId="3"/>
  <cacheFields count="4">
    <cacheField name="[Query1].[date (Month)].[date (Month)]" caption="date (Month)" numFmtId="0" hierarchy="14" level="1">
      <sharedItems containsSemiMixedTypes="0" containsNonDate="0" containsString="0"/>
    </cacheField>
    <cacheField name="[Hospital Emergency Room Data].[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Query1].[date (Year)].[date (Year)]" caption="date (Year)" numFmtId="0" hierarchy="16" level="1">
      <sharedItems containsSemiMixedTypes="0" containsNonDate="0" containsString="0"/>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90795949077" createdVersion="5" refreshedVersion="8" minRefreshableVersion="3" recordCount="0" supportSubquery="1" supportAdvancedDrill="1" xr:uid="{49CA7F45-A862-4E8D-BF7D-4205DA3DCAC4}">
  <cacheSource type="external" connectionId="3"/>
  <cacheFields count="4">
    <cacheField name="[Query1].[date (Month)].[date (Month)]" caption="date (Month)" numFmtId="0" hierarchy="14" level="1">
      <sharedItems count="1">
        <s v="May"/>
      </sharedItems>
    </cacheField>
    <cacheField name="[Query1].[date].[date]" caption="date" numFmtId="0" hierarchy="13"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Query1].[date (Quarter)].[date (Quarter)]" caption="date (Quarter)" numFmtId="0" hierarchy="17" level="1">
      <sharedItems count="1">
        <s v="Qtr2"/>
      </sharedItems>
    </cacheField>
    <cacheField name="[Query1].[date (Year)].[date (Year)]" caption="date (Year)" numFmtId="0" hierarchy="16" level="1">
      <sharedItems count="1">
        <s v="2024"/>
      </sharedItems>
    </cacheField>
  </cacheFields>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Query1].[date]" caption="date" attribute="1" time="1" defaultMemberUniqueName="[Query1].[date].[All]" allUniqueName="[Query1].[date].[All]" dimensionUniqueName="[Query1]" displayFolder="" count="2" memberValueDatatype="7" unbalanced="0">
      <fieldsUsage count="2">
        <fieldUsage x="-1"/>
        <fieldUsage x="1"/>
      </fieldsUsage>
    </cacheHierarchy>
    <cacheHierarchy uniqueName="[Query1].[date (Month)]" caption="date (Month)" attribute="1" defaultMemberUniqueName="[Query1].[date (Month)].[All]" allUniqueName="[Query1].[date (Month)].[All]" dimensionUniqueName="[Query1]" displayFolder="" count="2" memberValueDatatype="130" unbalanced="0">
      <fieldsUsage count="2">
        <fieldUsage x="-1"/>
        <fieldUsage x="0"/>
      </fieldsUsage>
    </cacheHierarchy>
    <cacheHierarchy uniqueName="[Query1].[date (Day)]" caption="date (Day)" attribute="1" defaultMemberUniqueName="[Query1].[date (Day)].[All]" allUniqueName="[Query1].[date (Day)].[All]" dimensionUniqueName="[Query1]" displayFolder="" count="2" memberValueDatatype="130" unbalanced="0"/>
    <cacheHierarchy uniqueName="[Query1].[date (Year)]" caption="date (Year)" attribute="1" defaultMemberUniqueName="[Query1].[date (Year)].[All]" allUniqueName="[Query1].[date (Year)].[All]" dimensionUniqueName="[Query1]" displayFolder="" count="2" memberValueDatatype="130" unbalanced="0">
      <fieldsUsage count="2">
        <fieldUsage x="-1"/>
        <fieldUsage x="3"/>
      </fieldsUsage>
    </cacheHierarchy>
    <cacheHierarchy uniqueName="[Query1].[date (Quarter)]" caption="date (Quarter)" attribute="1" defaultMemberUniqueName="[Query1].[date (Quarter)].[All]" allUniqueName="[Query1].[date (Quarter)].[All]" dimensionUniqueName="[Query1]" displayFolder="" count="2" memberValueDatatype="130" unbalanced="0">
      <fieldsUsage count="2">
        <fieldUsage x="-1"/>
        <fieldUsage x="2"/>
      </fieldsUsage>
    </cacheHierarchy>
    <cacheHierarchy uniqueName="[Query1].[date (Day Index)]" caption="date (Day Index)" attribute="1" defaultMemberUniqueName="[Query1].[date (Day Index)].[All]" allUniqueName="[Query1].[date (Day Index)].[All]" dimensionUniqueName="[Query1]" displayFolder="" count="2" memberValueDatatype="5" unbalanced="0" hidden="1"/>
    <cacheHierarchy uniqueName="[Query1].[date (Month Index)]" caption="date (Month Index)" attribute="1" defaultMemberUniqueName="[Query1].[date (Month Index)].[All]" allUniqueName="[Query1].[date (Month Index)].[All]" dimensionUniqueName="[Query1]" displayFolder="" count="2"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dimensions count="3">
    <dimension name="Hospital Emergency Room Data" uniqueName="[Hospital Emergency Room Data]" caption="Hospital Emergency Room Data"/>
    <dimension measure="1" name="Measures" uniqueName="[Measures]" caption="Measures"/>
    <dimension name="Query1" uniqueName="[Query1]" caption="Query1"/>
  </dimensions>
  <measureGroups count="2">
    <measureGroup name="Hospital Emergency Room Data" caption="Hospital Emergency Room Data"/>
    <measureGroup name="Query1" caption="Query1"/>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hat" refreshedDate="46121.786280208333" createdVersion="3" refreshedVersion="8" minRefreshableVersion="3" recordCount="0" supportSubquery="1" supportAdvancedDrill="1" xr:uid="{A82F4F16-19DC-4577-8B6D-D2196643422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Query1].[date]" caption="date" attribute="1" time="1" defaultMemberUniqueName="[Query1].[date].[All]" allUniqueName="[Query1].[date].[All]" dimensionUniqueName="[Query1]" displayFolder="" count="0" memberValueDatatype="7" unbalanced="0"/>
    <cacheHierarchy uniqueName="[Query1].[date (Month)]" caption="date (Month)" attribute="1" defaultMemberUniqueName="[Query1].[date (Month)].[All]" allUniqueName="[Query1].[date (Month)].[All]" dimensionUniqueName="[Query1]" displayFolder="" count="2" memberValueDatatype="130" unbalanced="0"/>
    <cacheHierarchy uniqueName="[Query1].[date (Day)]" caption="date (Day)" attribute="1" defaultMemberUniqueName="[Query1].[date (Day)].[All]" allUniqueName="[Query1].[date (Day)].[All]" dimensionUniqueName="[Query1]" displayFolder="" count="0" memberValueDatatype="130" unbalanced="0"/>
    <cacheHierarchy uniqueName="[Query1].[date (Year)]" caption="date (Year)" attribute="1" defaultMemberUniqueName="[Query1].[date (Year)].[All]" allUniqueName="[Query1].[date (Year)].[All]" dimensionUniqueName="[Query1]" displayFolder="" count="2" memberValueDatatype="130" unbalanced="0"/>
    <cacheHierarchy uniqueName="[Query1].[date (Quarter)]" caption="date (Quarter)" attribute="1" defaultMemberUniqueName="[Query1].[date (Quarter)].[All]" allUniqueName="[Query1].[date (Quarter)].[All]" dimensionUniqueName="[Query1]" displayFolder="" count="0" memberValueDatatype="130" unbalanced="0"/>
    <cacheHierarchy uniqueName="[Query1].[date (Day Index)]" caption="date (Day Index)" attribute="1" defaultMemberUniqueName="[Query1].[date (Day Index)].[All]" allUniqueName="[Query1].[date (Day Index)].[All]" dimensionUniqueName="[Query1]" displayFolder="" count="0" memberValueDatatype="5" unbalanced="0" hidden="1"/>
    <cacheHierarchy uniqueName="[Query1].[date (Month Index)]" caption="date (Month Index)" attribute="1" defaultMemberUniqueName="[Query1].[date (Month Index)].[All]" allUniqueName="[Query1].[date (Month Index)].[All]" dimensionUniqueName="[Query1]" displayFolder="" count="0" memberValueDatatype="20" unbalanced="0" hidden="1"/>
    <cacheHierarchy uniqueName="[Measures].[__XL_Count Query1]" caption="__XL_Count Query1" measure="1" displayFolder="" measureGroup="Query1"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574136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F4530-AB6D-410D-A5D2-4468870E8554}" name="PivotTable12" cacheId="586"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chartFormat="46">
  <location ref="A40:A4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6"/>
    <rowHierarchyUsage hierarchyUsage="17"/>
    <rowHierarchyUsage hierarchyUsage="14"/>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7803BD-3668-4BFF-99A0-008B9A727141}" name="PivotTable11" cacheId="583"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chartFormat="46">
  <location ref="D40:E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chartFormats count="2">
    <chartFormat chart="39"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978C4-B862-4E1B-858E-B6731DCC167B}" name="PivotTable10" cacheId="580"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chartFormat="39">
  <location ref="D34:E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1" count="1" selected="0">
            <x v="0"/>
          </reference>
        </references>
      </pivotArea>
    </chartFormat>
    <chartFormat chart="3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568E1F-B6D0-4D81-B11B-A44D2172C6CD}" name="PivotTable8" cacheId="577"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chartFormat="34">
  <location ref="D28:E3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F45AB-C75F-4E56-B127-B04699F87F15}" name="PivotTable5" cacheId="553" applyNumberFormats="0" applyBorderFormats="0" applyFontFormats="0" applyPatternFormats="0" applyAlignmentFormats="0" applyWidthHeightFormats="1" dataCaption="Values" tag="c28e835a-ee61-4e88-9228-65ccbb443e38" updatedVersion="8" minRefreshableVersion="3" subtotalHiddenItems="1" itemPrintTitles="1" createdVersion="5" indent="0" outline="1" outlineData="1" multipleFieldFilters="0" chartFormat="28">
  <location ref="J5:K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3"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7E20D7-DB76-40C6-9FCF-275CCA5298CE}" name="PivotTable9" cacheId="574"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chartFormat="27">
  <location ref="A28:B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4">
    <chartFormat chart="22"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F06360-BE60-45EF-9B9F-2BE9FF20D116}" name="PivotTable7" cacheId="571"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chartFormat="24">
  <location ref="A15:C1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 chart="0" format="6">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B342A6-F8CD-473C-95CC-8AC2A89DDB5C}" name="PivotTable4" cacheId="562" applyNumberFormats="0" applyBorderFormats="0" applyFontFormats="0" applyPatternFormats="0" applyAlignmentFormats="0" applyWidthHeightFormats="1" dataCaption="Values" tag="fa873eee-7d1e-48c0-a710-64520dbc120b" updatedVersion="8" minRefreshableVersion="3" useAutoFormatting="1"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26E00B-7BD7-4167-A0E2-29118AB7E9DE}" name="PivotTable6" cacheId="568" applyNumberFormats="0" applyBorderFormats="0" applyFontFormats="0" applyPatternFormats="0" applyAlignmentFormats="0" applyWidthHeightFormats="1" dataCaption="Values" tag="c28e835a-ee61-4e88-9228-65ccbb443e38" updatedVersion="8" minRefreshableVersion="3" subtotalHiddenItems="1" itemPrintTitles="1" createdVersion="5" indent="0" outline="1" outlineData="1" multipleFieldFilters="0" chartFormat="47">
  <location ref="S4:T36"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4">
    <format dxfId="91">
      <pivotArea collapsedLevelsAreSubtotals="1" fieldPosition="0">
        <references count="1">
          <reference field="0" count="21">
            <x v="40"/>
            <x v="41"/>
            <x v="42"/>
            <x v="43"/>
            <x v="44"/>
            <x v="45"/>
            <x v="46"/>
            <x v="47"/>
            <x v="48"/>
            <x v="49"/>
            <x v="50"/>
            <x v="51"/>
            <x v="52"/>
            <x v="53"/>
            <x v="54"/>
            <x v="55"/>
            <x v="56"/>
            <x v="57"/>
            <x v="58"/>
            <x v="59"/>
            <x v="60"/>
          </reference>
        </references>
      </pivotArea>
    </format>
    <format dxfId="90">
      <pivotArea grandRow="1" outline="0" collapsedLevelsAreSubtotals="1" fieldPosition="0"/>
    </format>
    <format dxfId="89">
      <pivotArea collapsedLevelsAreSubtotals="1" fieldPosition="0">
        <references count="1">
          <reference field="0" count="9">
            <x v="31"/>
            <x v="32"/>
            <x v="33"/>
            <x v="34"/>
            <x v="35"/>
            <x v="36"/>
            <x v="37"/>
            <x v="38"/>
            <x v="39"/>
          </reference>
        </references>
      </pivotArea>
    </format>
    <format dxfId="88">
      <pivotArea outline="0" collapsedLevelsAreSubtotals="1" fieldPosition="0"/>
    </format>
  </formats>
  <chartFormats count="2">
    <chartFormat chart="42"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7C977B-209D-4C20-A096-5AFBE1DC42EF}" name="PivotTable3" cacheId="559" applyNumberFormats="0" applyBorderFormats="0" applyFontFormats="0" applyPatternFormats="0" applyAlignmentFormats="0" applyWidthHeightFormats="1" dataCaption="Values" tag="5c70286b-3453-450e-b51b-4b7fb390ead9"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458162-0A4B-4AF8-BC6B-608E47699545}" name="PivotTable2" cacheId="565" applyNumberFormats="0" applyBorderFormats="0" applyFontFormats="0" applyPatternFormats="0" applyAlignmentFormats="0" applyWidthHeightFormats="1" dataCaption="Values" tag="c28e835a-ee61-4e88-9228-65ccbb443e38" updatedVersion="8" minRefreshableVersion="3" subtotalHiddenItems="1" itemPrintTitles="1" createdVersion="5" indent="0" outline="1" outlineData="1" multipleFieldFilters="0" chartFormat="39">
  <location ref="N5:O37"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2" numFmtId="2"/>
  </dataFields>
  <formats count="4">
    <format dxfId="95">
      <pivotArea collapsedLevelsAreSubtotals="1" fieldPosition="0">
        <references count="1">
          <reference field="0" count="21">
            <x v="40"/>
            <x v="41"/>
            <x v="42"/>
            <x v="43"/>
            <x v="44"/>
            <x v="45"/>
            <x v="46"/>
            <x v="47"/>
            <x v="48"/>
            <x v="49"/>
            <x v="50"/>
            <x v="51"/>
            <x v="52"/>
            <x v="53"/>
            <x v="54"/>
            <x v="55"/>
            <x v="56"/>
            <x v="57"/>
            <x v="58"/>
            <x v="59"/>
            <x v="60"/>
          </reference>
        </references>
      </pivotArea>
    </format>
    <format dxfId="94">
      <pivotArea grandRow="1" outline="0" collapsedLevelsAreSubtotals="1" fieldPosition="0"/>
    </format>
    <format dxfId="93">
      <pivotArea collapsedLevelsAreSubtotals="1" fieldPosition="0">
        <references count="1">
          <reference field="0" count="9">
            <x v="31"/>
            <x v="32"/>
            <x v="33"/>
            <x v="34"/>
            <x v="35"/>
            <x v="36"/>
            <x v="37"/>
            <x v="38"/>
            <x v="39"/>
          </reference>
        </references>
      </pivotArea>
    </format>
    <format dxfId="92">
      <pivotArea outline="0" collapsedLevelsAreSubtotals="1" fieldPosition="0"/>
    </format>
  </formats>
  <chartFormats count="2">
    <chartFormat chart="32"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48114A-F061-40DC-AA68-2A4F48EE2A03}" name="PivotTable1" cacheId="556" applyNumberFormats="0" applyBorderFormats="0" applyFontFormats="0" applyPatternFormats="0" applyAlignmentFormats="0" applyWidthHeightFormats="1" dataCaption="Values" tag="107d4451-3d89-40d9-b008-68e1776158ff"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uery1].[date (Month)].&amp;[Jan]"/>
      </members>
    </pivotHierarchy>
    <pivotHierarchy dragToData="1"/>
    <pivotHierarchy multipleItemSelectionAllowed="1" dragToData="1">
      <members count="1" level="1">
        <member name="[Query1].[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EEDBF2C-CE84-41F6-9E6E-07A3795B05C3}" sourceName="[Query1].[date (Month)]">
  <pivotTables>
    <pivotTable tabId="1" name="PivotTable5"/>
    <pivotTable tabId="1" name="PivotTable1"/>
    <pivotTable tabId="1" name="PivotTable3"/>
    <pivotTable tabId="1" name="PivotTable4"/>
    <pivotTable tabId="1" name="PivotTable2"/>
    <pivotTable tabId="1" name="PivotTable6"/>
    <pivotTable tabId="1" name="PivotTable7"/>
    <pivotTable tabId="1" name="PivotTable9"/>
    <pivotTable tabId="1" name="PivotTable8"/>
    <pivotTable tabId="1" name="PivotTable10"/>
    <pivotTable tabId="1" name="PivotTable11"/>
    <pivotTable tabId="1" name="PivotTable12"/>
  </pivotTables>
  <data>
    <olap pivotCacheId="857413677">
      <levels count="2">
        <level uniqueName="[Query1].[date (Month)].[(All)]" sourceCaption="(All)" count="0"/>
        <level uniqueName="[Query1].[date (Month)].[date (Month)]" sourceCaption="date (Month)" count="12">
          <ranges>
            <range startItem="0">
              <i n="[Query1].[date (Month)].&amp;[Jan]" c="Jan"/>
              <i n="[Query1].[date (Month)].&amp;[Feb]" c="Feb"/>
              <i n="[Query1].[date (Month)].&amp;[Mar]" c="Mar"/>
              <i n="[Query1].[date (Month)].&amp;[Apr]" c="Apr"/>
              <i n="[Query1].[date (Month)].&amp;[May]" c="May"/>
              <i n="[Query1].[date (Month)].&amp;[Jun]" c="Jun"/>
              <i n="[Query1].[date (Month)].&amp;[Jul]" c="Jul"/>
              <i n="[Query1].[date (Month)].&amp;[Aug]" c="Aug"/>
              <i n="[Query1].[date (Month)].&amp;[Sep]" c="Sep"/>
              <i n="[Query1].[date (Month)].&amp;[Oct]" c="Oct"/>
              <i n="[Query1].[date (Month)].&amp;[Nov]" c="Nov"/>
              <i n="[Query1].[date (Month)].&amp;[Dec]" c="Dec"/>
            </range>
          </ranges>
        </level>
      </levels>
      <selections count="1">
        <selection n="[Query1].[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8A21BB8-31CE-485D-993C-35DF0580A9DC}" sourceName="[Query1].[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57413677">
      <levels count="2">
        <level uniqueName="[Query1].[date (Year)].[(All)]" sourceCaption="(All)" count="0"/>
        <level uniqueName="[Query1].[date (Year)].[date (Year)]" sourceCaption="date (Year)" count="2">
          <ranges>
            <range startItem="0">
              <i n="[Query1].[date (Year)].&amp;[2023]" c="2023"/>
              <i n="[Query1].[date (Year)].&amp;[2024]" c="2024"/>
            </range>
          </ranges>
        </level>
      </levels>
      <selections count="1">
        <selection n="[Query1].[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4A487C0-DC80-4DC0-8F55-17E1831F1ABC}" cache="Slicer_date__Month" caption="date (Month)" level="1" rowHeight="336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DBDFDEE-DA04-459C-B6FA-9DE988D63436}" cache="Slicer_date__Month" caption="date (Month)" showCaption="0" level="1" style="SlicerStyleLight6" rowHeight="288000"/>
  <slicer name="date (Year)" xr10:uid="{54246BF4-A5F3-40A1-B808-F5D5CAB20ECF}" cache="Slicer_date__Year" caption="date (Year)" showCaption="0" level="1" rowHeight="336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4809-0572-4016-88DC-9DC3733660DD}">
  <dimension ref="A3:T49"/>
  <sheetViews>
    <sheetView topLeftCell="A28" zoomScale="51" zoomScaleNormal="81" workbookViewId="0">
      <selection activeCell="H48" sqref="H48"/>
    </sheetView>
  </sheetViews>
  <sheetFormatPr defaultRowHeight="20" x14ac:dyDescent="0.4"/>
  <cols>
    <col min="1" max="1" width="14.5" bestFit="1" customWidth="1"/>
    <col min="2" max="2" width="19.5625" bestFit="1" customWidth="1"/>
    <col min="3" max="3" width="31.75" bestFit="1" customWidth="1"/>
    <col min="4" max="4" width="15.5" bestFit="1" customWidth="1"/>
    <col min="5" max="5" width="28.5" bestFit="1" customWidth="1"/>
    <col min="6" max="6" width="23.1875" bestFit="1" customWidth="1"/>
    <col min="7" max="7" width="26.1875" customWidth="1"/>
    <col min="9" max="9" width="11.625" customWidth="1"/>
    <col min="10" max="10" width="26.3125" customWidth="1"/>
    <col min="11" max="11" width="27.125" customWidth="1"/>
    <col min="20" max="20" width="33.625" customWidth="1"/>
    <col min="21" max="21" width="26.875" customWidth="1"/>
  </cols>
  <sheetData>
    <row r="3" spans="1:20" x14ac:dyDescent="0.4">
      <c r="A3" t="s">
        <v>1</v>
      </c>
      <c r="S3" t="s">
        <v>8</v>
      </c>
    </row>
    <row r="4" spans="1:20" x14ac:dyDescent="0.4">
      <c r="A4" t="s">
        <v>0</v>
      </c>
      <c r="J4" t="s">
        <v>6</v>
      </c>
      <c r="N4" t="s">
        <v>7</v>
      </c>
      <c r="S4" s="1" t="s">
        <v>3</v>
      </c>
      <c r="T4" t="s">
        <v>5</v>
      </c>
    </row>
    <row r="5" spans="1:20" x14ac:dyDescent="0.4">
      <c r="A5" s="10">
        <v>513</v>
      </c>
      <c r="J5" s="1" t="s">
        <v>3</v>
      </c>
      <c r="K5" t="s">
        <v>0</v>
      </c>
      <c r="N5" s="1" t="s">
        <v>3</v>
      </c>
      <c r="O5" t="s">
        <v>2</v>
      </c>
      <c r="S5" s="2" t="s">
        <v>26</v>
      </c>
      <c r="T5" s="5">
        <v>6.666666666666667</v>
      </c>
    </row>
    <row r="6" spans="1:20" x14ac:dyDescent="0.4">
      <c r="J6" s="2" t="s">
        <v>26</v>
      </c>
      <c r="K6" s="10">
        <v>19</v>
      </c>
      <c r="N6" s="2" t="s">
        <v>26</v>
      </c>
      <c r="O6" s="5">
        <v>37.789473684210527</v>
      </c>
      <c r="S6" s="2" t="s">
        <v>27</v>
      </c>
      <c r="T6" s="5">
        <v>3.5</v>
      </c>
    </row>
    <row r="7" spans="1:20" x14ac:dyDescent="0.4">
      <c r="J7" s="2" t="s">
        <v>27</v>
      </c>
      <c r="K7" s="10">
        <v>14</v>
      </c>
      <c r="N7" s="2" t="s">
        <v>27</v>
      </c>
      <c r="O7" s="5">
        <v>38.214285714285715</v>
      </c>
      <c r="S7" s="2" t="s">
        <v>28</v>
      </c>
      <c r="T7" s="5">
        <v>4.5</v>
      </c>
    </row>
    <row r="8" spans="1:20" x14ac:dyDescent="0.4">
      <c r="A8" t="s">
        <v>2</v>
      </c>
      <c r="J8" s="2" t="s">
        <v>28</v>
      </c>
      <c r="K8" s="10">
        <v>13</v>
      </c>
      <c r="N8" s="2" t="s">
        <v>28</v>
      </c>
      <c r="O8" s="5">
        <v>40.92307692307692</v>
      </c>
      <c r="S8" s="2" t="s">
        <v>29</v>
      </c>
      <c r="T8" s="5">
        <v>4.8</v>
      </c>
    </row>
    <row r="9" spans="1:20" x14ac:dyDescent="0.4">
      <c r="A9" s="10">
        <v>36.323586744639378</v>
      </c>
      <c r="J9" s="2" t="s">
        <v>29</v>
      </c>
      <c r="K9" s="10">
        <v>22</v>
      </c>
      <c r="N9" s="2" t="s">
        <v>29</v>
      </c>
      <c r="O9" s="5">
        <v>34.5</v>
      </c>
      <c r="S9" s="2" t="s">
        <v>30</v>
      </c>
      <c r="T9" s="5">
        <v>7.75</v>
      </c>
    </row>
    <row r="10" spans="1:20" x14ac:dyDescent="0.4">
      <c r="J10" s="2" t="s">
        <v>30</v>
      </c>
      <c r="K10" s="10">
        <v>19</v>
      </c>
      <c r="N10" s="2" t="s">
        <v>30</v>
      </c>
      <c r="O10" s="5">
        <v>30.684210526315791</v>
      </c>
      <c r="S10" s="2" t="s">
        <v>31</v>
      </c>
      <c r="T10" s="5">
        <v>6.2</v>
      </c>
    </row>
    <row r="11" spans="1:20" x14ac:dyDescent="0.4">
      <c r="J11" s="2" t="s">
        <v>31</v>
      </c>
      <c r="K11" s="10">
        <v>15</v>
      </c>
      <c r="N11" s="2" t="s">
        <v>31</v>
      </c>
      <c r="O11" s="5">
        <v>37.666666666666664</v>
      </c>
      <c r="S11" s="2" t="s">
        <v>32</v>
      </c>
      <c r="T11" s="5">
        <v>3.75</v>
      </c>
    </row>
    <row r="12" spans="1:20" x14ac:dyDescent="0.4">
      <c r="A12" t="s">
        <v>5</v>
      </c>
      <c r="J12" s="2" t="s">
        <v>32</v>
      </c>
      <c r="K12" s="10">
        <v>12</v>
      </c>
      <c r="N12" s="2" t="s">
        <v>32</v>
      </c>
      <c r="O12" s="5">
        <v>36.083333333333336</v>
      </c>
      <c r="S12" s="2" t="s">
        <v>33</v>
      </c>
      <c r="T12" s="5">
        <v>6.5</v>
      </c>
    </row>
    <row r="13" spans="1:20" x14ac:dyDescent="0.4">
      <c r="A13" s="10">
        <v>4.9591836734693882</v>
      </c>
      <c r="J13" s="2" t="s">
        <v>33</v>
      </c>
      <c r="K13" s="10">
        <v>21</v>
      </c>
      <c r="N13" s="2" t="s">
        <v>33</v>
      </c>
      <c r="O13" s="5">
        <v>43.523809523809526</v>
      </c>
      <c r="S13" s="2" t="s">
        <v>34</v>
      </c>
      <c r="T13" s="5">
        <v>3</v>
      </c>
    </row>
    <row r="14" spans="1:20" x14ac:dyDescent="0.4">
      <c r="J14" s="2" t="s">
        <v>34</v>
      </c>
      <c r="K14" s="10">
        <v>12</v>
      </c>
      <c r="N14" s="2" t="s">
        <v>34</v>
      </c>
      <c r="O14" s="5">
        <v>29.5</v>
      </c>
      <c r="S14" s="2" t="s">
        <v>35</v>
      </c>
      <c r="T14" s="5">
        <v>4.5</v>
      </c>
    </row>
    <row r="15" spans="1:20" x14ac:dyDescent="0.4">
      <c r="A15" s="1" t="s">
        <v>3</v>
      </c>
      <c r="B15" t="s">
        <v>9</v>
      </c>
      <c r="C15" t="s">
        <v>12</v>
      </c>
      <c r="J15" s="2" t="s">
        <v>35</v>
      </c>
      <c r="K15" s="10">
        <v>13</v>
      </c>
      <c r="N15" s="2" t="s">
        <v>35</v>
      </c>
      <c r="O15" s="5">
        <v>38.07692307692308</v>
      </c>
      <c r="S15" s="2" t="s">
        <v>36</v>
      </c>
      <c r="T15" s="5">
        <v>6</v>
      </c>
    </row>
    <row r="16" spans="1:20" x14ac:dyDescent="0.4">
      <c r="A16" s="2" t="s">
        <v>10</v>
      </c>
      <c r="B16" s="10">
        <v>269</v>
      </c>
      <c r="C16" s="6">
        <v>0.52436647173489281</v>
      </c>
      <c r="J16" s="2" t="s">
        <v>36</v>
      </c>
      <c r="K16" s="10">
        <v>13</v>
      </c>
      <c r="N16" s="2" t="s">
        <v>36</v>
      </c>
      <c r="O16" s="5">
        <v>35.846153846153847</v>
      </c>
      <c r="S16" s="2" t="s">
        <v>37</v>
      </c>
      <c r="T16" s="5">
        <v>5.2</v>
      </c>
    </row>
    <row r="17" spans="1:20" x14ac:dyDescent="0.4">
      <c r="A17" s="2" t="s">
        <v>11</v>
      </c>
      <c r="B17" s="10">
        <v>244</v>
      </c>
      <c r="C17" s="6">
        <v>0.47563352826510719</v>
      </c>
      <c r="J17" s="2" t="s">
        <v>37</v>
      </c>
      <c r="K17" s="10">
        <v>16</v>
      </c>
      <c r="N17" s="2" t="s">
        <v>37</v>
      </c>
      <c r="O17" s="5">
        <v>32.625</v>
      </c>
      <c r="S17" s="2" t="s">
        <v>38</v>
      </c>
      <c r="T17" s="5">
        <v>4.4000000000000004</v>
      </c>
    </row>
    <row r="18" spans="1:20" x14ac:dyDescent="0.4">
      <c r="A18" s="2" t="s">
        <v>4</v>
      </c>
      <c r="B18" s="10">
        <v>513</v>
      </c>
      <c r="C18" s="6">
        <v>1</v>
      </c>
      <c r="J18" s="2" t="s">
        <v>38</v>
      </c>
      <c r="K18" s="10">
        <v>20</v>
      </c>
      <c r="N18" s="2" t="s">
        <v>38</v>
      </c>
      <c r="O18" s="5">
        <v>39.200000000000003</v>
      </c>
      <c r="S18" s="2" t="s">
        <v>39</v>
      </c>
      <c r="T18" s="5">
        <v>3.4545454545454546</v>
      </c>
    </row>
    <row r="19" spans="1:20" x14ac:dyDescent="0.4">
      <c r="J19" s="2" t="s">
        <v>39</v>
      </c>
      <c r="K19" s="10">
        <v>25</v>
      </c>
      <c r="N19" s="2" t="s">
        <v>39</v>
      </c>
      <c r="O19" s="5">
        <v>35.28</v>
      </c>
      <c r="S19" s="2" t="s">
        <v>40</v>
      </c>
      <c r="T19" s="5">
        <v>4.4000000000000004</v>
      </c>
    </row>
    <row r="20" spans="1:20" x14ac:dyDescent="0.4">
      <c r="J20" s="2" t="s">
        <v>40</v>
      </c>
      <c r="K20" s="10">
        <v>20</v>
      </c>
      <c r="N20" s="2" t="s">
        <v>40</v>
      </c>
      <c r="O20" s="5">
        <v>32.549999999999997</v>
      </c>
      <c r="S20" s="2" t="s">
        <v>41</v>
      </c>
      <c r="T20" s="5">
        <v>5.833333333333333</v>
      </c>
    </row>
    <row r="21" spans="1:20" x14ac:dyDescent="0.4">
      <c r="J21" s="2" t="s">
        <v>41</v>
      </c>
      <c r="K21" s="10">
        <v>14</v>
      </c>
      <c r="N21" s="2" t="s">
        <v>41</v>
      </c>
      <c r="O21" s="5">
        <v>35.642857142857146</v>
      </c>
      <c r="S21" s="2" t="s">
        <v>42</v>
      </c>
      <c r="T21" s="5">
        <v>4.4444444444444446</v>
      </c>
    </row>
    <row r="22" spans="1:20" x14ac:dyDescent="0.4">
      <c r="J22" s="2" t="s">
        <v>42</v>
      </c>
      <c r="K22" s="10">
        <v>17</v>
      </c>
      <c r="N22" s="2" t="s">
        <v>42</v>
      </c>
      <c r="O22" s="5">
        <v>38.764705882352942</v>
      </c>
      <c r="S22" s="2" t="s">
        <v>43</v>
      </c>
      <c r="T22" s="5">
        <v>5.333333333333333</v>
      </c>
    </row>
    <row r="23" spans="1:20" x14ac:dyDescent="0.4">
      <c r="A23" s="7" t="s">
        <v>15</v>
      </c>
      <c r="B23" s="11" t="s">
        <v>16</v>
      </c>
      <c r="C23" s="11" t="s">
        <v>13</v>
      </c>
      <c r="D23" s="11" t="s">
        <v>14</v>
      </c>
      <c r="J23" s="2" t="s">
        <v>43</v>
      </c>
      <c r="K23" s="10">
        <v>20</v>
      </c>
      <c r="N23" s="2" t="s">
        <v>43</v>
      </c>
      <c r="O23" s="5">
        <v>39.9</v>
      </c>
      <c r="S23" s="2" t="s">
        <v>44</v>
      </c>
      <c r="T23" s="5">
        <v>5.333333333333333</v>
      </c>
    </row>
    <row r="24" spans="1:20" x14ac:dyDescent="0.4">
      <c r="A24" s="8" t="s">
        <v>11</v>
      </c>
      <c r="B24" s="8">
        <v>504</v>
      </c>
      <c r="C24" s="9">
        <v>0.50449999999999995</v>
      </c>
      <c r="D24" s="8"/>
      <c r="J24" s="2" t="s">
        <v>44</v>
      </c>
      <c r="K24" s="10">
        <v>10</v>
      </c>
      <c r="N24" s="2" t="s">
        <v>44</v>
      </c>
      <c r="O24" s="5">
        <v>41.6</v>
      </c>
      <c r="S24" s="2" t="s">
        <v>45</v>
      </c>
      <c r="T24" s="5">
        <v>5.5714285714285712</v>
      </c>
    </row>
    <row r="25" spans="1:20" x14ac:dyDescent="0.4">
      <c r="A25" s="8" t="s">
        <v>10</v>
      </c>
      <c r="B25" s="8">
        <v>495</v>
      </c>
      <c r="C25" s="9">
        <v>0.4955</v>
      </c>
      <c r="D25" s="8"/>
      <c r="J25" s="2" t="s">
        <v>45</v>
      </c>
      <c r="K25" s="10">
        <v>17</v>
      </c>
      <c r="N25" s="2" t="s">
        <v>45</v>
      </c>
      <c r="O25" s="5">
        <v>39.470588235294116</v>
      </c>
      <c r="S25" s="2" t="s">
        <v>46</v>
      </c>
      <c r="T25" s="5">
        <v>5</v>
      </c>
    </row>
    <row r="26" spans="1:20" x14ac:dyDescent="0.4">
      <c r="J26" s="2" t="s">
        <v>46</v>
      </c>
      <c r="K26" s="10">
        <v>15</v>
      </c>
      <c r="N26" s="2" t="s">
        <v>46</v>
      </c>
      <c r="O26" s="5">
        <v>27.733333333333334</v>
      </c>
      <c r="S26" s="2" t="s">
        <v>47</v>
      </c>
      <c r="T26" s="5">
        <v>6.4</v>
      </c>
    </row>
    <row r="27" spans="1:20" x14ac:dyDescent="0.4">
      <c r="D27" t="s">
        <v>57</v>
      </c>
      <c r="J27" s="2" t="s">
        <v>47</v>
      </c>
      <c r="K27" s="10">
        <v>16</v>
      </c>
      <c r="N27" s="2" t="s">
        <v>47</v>
      </c>
      <c r="O27" s="5">
        <v>36.875</v>
      </c>
      <c r="S27" s="2" t="s">
        <v>48</v>
      </c>
      <c r="T27" s="5">
        <v>5.333333333333333</v>
      </c>
    </row>
    <row r="28" spans="1:20" x14ac:dyDescent="0.4">
      <c r="A28" s="1" t="s">
        <v>3</v>
      </c>
      <c r="B28" t="s">
        <v>25</v>
      </c>
      <c r="D28" s="1" t="s">
        <v>3</v>
      </c>
      <c r="E28" t="s">
        <v>60</v>
      </c>
      <c r="J28" s="2" t="s">
        <v>48</v>
      </c>
      <c r="K28" s="10">
        <v>18</v>
      </c>
      <c r="N28" s="2" t="s">
        <v>48</v>
      </c>
      <c r="O28" s="5">
        <v>40.333333333333336</v>
      </c>
      <c r="S28" s="2" t="s">
        <v>49</v>
      </c>
      <c r="T28" s="5">
        <v>3.75</v>
      </c>
    </row>
    <row r="29" spans="1:20" x14ac:dyDescent="0.4">
      <c r="A29" s="2" t="s">
        <v>17</v>
      </c>
      <c r="B29" s="10">
        <v>76</v>
      </c>
      <c r="D29" s="2" t="s">
        <v>58</v>
      </c>
      <c r="E29" s="10">
        <v>316</v>
      </c>
      <c r="J29" s="2" t="s">
        <v>49</v>
      </c>
      <c r="K29" s="10">
        <v>16</v>
      </c>
      <c r="N29" s="2" t="s">
        <v>49</v>
      </c>
      <c r="O29" s="5">
        <v>36.5</v>
      </c>
      <c r="S29" s="2" t="s">
        <v>50</v>
      </c>
      <c r="T29" s="5">
        <v>6.333333333333333</v>
      </c>
    </row>
    <row r="30" spans="1:20" x14ac:dyDescent="0.4">
      <c r="A30" s="2" t="s">
        <v>18</v>
      </c>
      <c r="B30" s="10">
        <v>69</v>
      </c>
      <c r="D30" s="2" t="s">
        <v>59</v>
      </c>
      <c r="E30" s="10">
        <v>197</v>
      </c>
      <c r="J30" s="2" t="s">
        <v>50</v>
      </c>
      <c r="K30" s="10">
        <v>15</v>
      </c>
      <c r="N30" s="2" t="s">
        <v>50</v>
      </c>
      <c r="O30" s="5">
        <v>32.866666666666667</v>
      </c>
      <c r="S30" s="2" t="s">
        <v>51</v>
      </c>
      <c r="T30" s="5">
        <v>10</v>
      </c>
    </row>
    <row r="31" spans="1:20" x14ac:dyDescent="0.4">
      <c r="A31" s="2" t="s">
        <v>19</v>
      </c>
      <c r="B31" s="10">
        <v>64</v>
      </c>
      <c r="D31" s="2" t="s">
        <v>4</v>
      </c>
      <c r="E31" s="10">
        <v>513</v>
      </c>
      <c r="J31" s="2" t="s">
        <v>51</v>
      </c>
      <c r="K31" s="10">
        <v>14</v>
      </c>
      <c r="N31" s="2" t="s">
        <v>51</v>
      </c>
      <c r="O31" s="5">
        <v>36.642857142857146</v>
      </c>
      <c r="S31" s="2" t="s">
        <v>52</v>
      </c>
      <c r="T31" s="5">
        <v>5</v>
      </c>
    </row>
    <row r="32" spans="1:20" x14ac:dyDescent="0.4">
      <c r="A32" s="2" t="s">
        <v>20</v>
      </c>
      <c r="B32" s="10">
        <v>59</v>
      </c>
      <c r="J32" s="2" t="s">
        <v>52</v>
      </c>
      <c r="K32" s="10">
        <v>16</v>
      </c>
      <c r="N32" s="2" t="s">
        <v>52</v>
      </c>
      <c r="O32" s="5">
        <v>36.5625</v>
      </c>
      <c r="S32" s="2" t="s">
        <v>53</v>
      </c>
      <c r="T32" s="5">
        <v>5.333333333333333</v>
      </c>
    </row>
    <row r="33" spans="1:20" x14ac:dyDescent="0.4">
      <c r="A33" s="2" t="s">
        <v>21</v>
      </c>
      <c r="B33" s="10">
        <v>58</v>
      </c>
      <c r="D33" s="12" t="s">
        <v>64</v>
      </c>
      <c r="J33" s="2" t="s">
        <v>53</v>
      </c>
      <c r="K33" s="10">
        <v>20</v>
      </c>
      <c r="N33" s="2" t="s">
        <v>53</v>
      </c>
      <c r="O33" s="5">
        <v>32.15</v>
      </c>
      <c r="S33" s="2" t="s">
        <v>54</v>
      </c>
      <c r="T33" s="5">
        <v>4.8</v>
      </c>
    </row>
    <row r="34" spans="1:20" x14ac:dyDescent="0.4">
      <c r="A34" s="2" t="s">
        <v>22</v>
      </c>
      <c r="B34" s="10">
        <v>66</v>
      </c>
      <c r="D34" s="1" t="s">
        <v>3</v>
      </c>
      <c r="E34" t="s">
        <v>63</v>
      </c>
      <c r="J34" s="2" t="s">
        <v>54</v>
      </c>
      <c r="K34" s="10">
        <v>19</v>
      </c>
      <c r="N34" s="2" t="s">
        <v>54</v>
      </c>
      <c r="O34" s="5">
        <v>38.368421052631582</v>
      </c>
      <c r="S34" s="2" t="s">
        <v>55</v>
      </c>
      <c r="T34" s="5">
        <v>5</v>
      </c>
    </row>
    <row r="35" spans="1:20" x14ac:dyDescent="0.4">
      <c r="A35" s="2" t="s">
        <v>23</v>
      </c>
      <c r="B35" s="10">
        <v>67</v>
      </c>
      <c r="D35" s="2" t="s">
        <v>61</v>
      </c>
      <c r="E35" s="10">
        <v>241</v>
      </c>
      <c r="J35" s="2" t="s">
        <v>55</v>
      </c>
      <c r="K35" s="10">
        <v>14</v>
      </c>
      <c r="N35" s="2" t="s">
        <v>55</v>
      </c>
      <c r="O35" s="5">
        <v>33.071428571428569</v>
      </c>
      <c r="S35" s="2" t="s">
        <v>56</v>
      </c>
      <c r="T35" s="5">
        <v>1.4</v>
      </c>
    </row>
    <row r="36" spans="1:20" x14ac:dyDescent="0.4">
      <c r="A36" s="2" t="s">
        <v>24</v>
      </c>
      <c r="B36" s="10">
        <v>54</v>
      </c>
      <c r="D36" s="2" t="s">
        <v>62</v>
      </c>
      <c r="E36" s="10">
        <v>272</v>
      </c>
      <c r="J36" s="2" t="s">
        <v>56</v>
      </c>
      <c r="K36" s="10">
        <v>18</v>
      </c>
      <c r="N36" s="2" t="s">
        <v>56</v>
      </c>
      <c r="O36" s="5">
        <v>36.444444444444443</v>
      </c>
      <c r="S36" s="2" t="s">
        <v>4</v>
      </c>
      <c r="T36" s="5">
        <v>4.9591836734693882</v>
      </c>
    </row>
    <row r="37" spans="1:20" x14ac:dyDescent="0.4">
      <c r="A37" s="2" t="s">
        <v>4</v>
      </c>
      <c r="B37" s="10">
        <v>513</v>
      </c>
      <c r="D37" s="2" t="s">
        <v>4</v>
      </c>
      <c r="E37" s="10">
        <v>513</v>
      </c>
      <c r="J37" s="2" t="s">
        <v>4</v>
      </c>
      <c r="K37" s="10">
        <v>513</v>
      </c>
      <c r="N37" s="2" t="s">
        <v>4</v>
      </c>
      <c r="O37" s="5">
        <v>36.323586744639378</v>
      </c>
    </row>
    <row r="40" spans="1:20" x14ac:dyDescent="0.4">
      <c r="A40" s="1" t="s">
        <v>3</v>
      </c>
      <c r="D40" s="1" t="s">
        <v>3</v>
      </c>
      <c r="E40" t="s">
        <v>73</v>
      </c>
    </row>
    <row r="41" spans="1:20" x14ac:dyDescent="0.4">
      <c r="A41" s="2" t="s">
        <v>74</v>
      </c>
      <c r="D41" s="2" t="s">
        <v>65</v>
      </c>
      <c r="E41" s="10">
        <v>14</v>
      </c>
    </row>
    <row r="42" spans="1:20" x14ac:dyDescent="0.4">
      <c r="A42" s="2" t="s">
        <v>4</v>
      </c>
      <c r="D42" s="2" t="s">
        <v>66</v>
      </c>
      <c r="E42" s="10">
        <v>4</v>
      </c>
    </row>
    <row r="43" spans="1:20" x14ac:dyDescent="0.4">
      <c r="D43" s="2" t="s">
        <v>67</v>
      </c>
      <c r="E43" s="10">
        <v>103</v>
      </c>
    </row>
    <row r="44" spans="1:20" x14ac:dyDescent="0.4">
      <c r="D44" s="2" t="s">
        <v>68</v>
      </c>
      <c r="E44" s="10">
        <v>9</v>
      </c>
    </row>
    <row r="45" spans="1:20" x14ac:dyDescent="0.4">
      <c r="D45" s="2" t="s">
        <v>69</v>
      </c>
      <c r="E45" s="10">
        <v>299</v>
      </c>
    </row>
    <row r="46" spans="1:20" x14ac:dyDescent="0.4">
      <c r="D46" s="2" t="s">
        <v>70</v>
      </c>
      <c r="E46" s="10">
        <v>65</v>
      </c>
    </row>
    <row r="47" spans="1:20" x14ac:dyDescent="0.4">
      <c r="D47" s="2" t="s">
        <v>71</v>
      </c>
      <c r="E47" s="10">
        <v>14</v>
      </c>
    </row>
    <row r="48" spans="1:20" x14ac:dyDescent="0.4">
      <c r="D48" s="2" t="s">
        <v>72</v>
      </c>
      <c r="E48" s="10">
        <v>5</v>
      </c>
    </row>
    <row r="49" spans="4:5" x14ac:dyDescent="0.4">
      <c r="D49" s="2" t="s">
        <v>4</v>
      </c>
      <c r="E49" s="10">
        <v>513</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560CF-1060-4355-96B5-80334B17FF91}">
  <dimension ref="A1:M24"/>
  <sheetViews>
    <sheetView tabSelected="1" zoomScale="55" zoomScaleNormal="90" workbookViewId="0">
      <selection activeCell="I9" sqref="I9"/>
    </sheetView>
  </sheetViews>
  <sheetFormatPr defaultRowHeight="20" x14ac:dyDescent="0.4"/>
  <sheetData>
    <row r="1" spans="1:13" x14ac:dyDescent="0.4">
      <c r="A1" s="3"/>
      <c r="B1" s="3"/>
      <c r="C1" s="3"/>
      <c r="D1" s="3"/>
      <c r="E1" s="3"/>
      <c r="F1" s="3"/>
      <c r="G1" s="3"/>
      <c r="H1" s="3"/>
      <c r="I1" s="3"/>
      <c r="J1" s="3"/>
      <c r="K1" s="3"/>
      <c r="L1" s="3"/>
      <c r="M1" s="3"/>
    </row>
    <row r="2" spans="1:13" x14ac:dyDescent="0.4">
      <c r="A2" s="3"/>
      <c r="B2" s="3"/>
      <c r="C2" s="3"/>
      <c r="D2" s="3"/>
      <c r="E2" s="3"/>
      <c r="F2" s="3"/>
      <c r="G2" s="3"/>
      <c r="H2" s="3"/>
      <c r="I2" s="3"/>
      <c r="J2" s="3"/>
      <c r="K2" s="3"/>
      <c r="L2" s="3"/>
      <c r="M2" s="3"/>
    </row>
    <row r="3" spans="1:13" x14ac:dyDescent="0.4">
      <c r="A3" s="3"/>
      <c r="B3" s="3"/>
      <c r="C3" s="3"/>
      <c r="D3" s="3"/>
      <c r="E3" s="3"/>
      <c r="F3" s="3"/>
      <c r="G3" s="3"/>
      <c r="H3" s="3"/>
      <c r="I3" s="3"/>
      <c r="J3" s="3"/>
      <c r="K3" s="3"/>
      <c r="L3" s="3"/>
      <c r="M3" s="3"/>
    </row>
    <row r="4" spans="1:13" x14ac:dyDescent="0.4">
      <c r="A4" s="3"/>
      <c r="B4" s="3"/>
      <c r="C4" s="3"/>
      <c r="D4" s="3"/>
      <c r="E4" s="3"/>
      <c r="F4" s="3"/>
      <c r="G4" s="3"/>
      <c r="H4" s="3"/>
      <c r="I4" s="3"/>
      <c r="J4" s="3"/>
      <c r="K4" s="3"/>
      <c r="L4" s="3"/>
      <c r="M4" s="3"/>
    </row>
    <row r="5" spans="1:13" x14ac:dyDescent="0.4">
      <c r="A5" s="3"/>
      <c r="B5" s="3"/>
      <c r="C5" s="3"/>
      <c r="D5" s="3"/>
      <c r="E5" s="3"/>
      <c r="F5" s="3"/>
      <c r="G5" s="3"/>
      <c r="H5" s="3"/>
      <c r="I5" s="3"/>
      <c r="J5" s="3"/>
      <c r="K5" s="3"/>
      <c r="L5" s="3"/>
      <c r="M5" s="3"/>
    </row>
    <row r="6" spans="1:13" x14ac:dyDescent="0.4">
      <c r="A6" s="3"/>
      <c r="B6" s="3"/>
      <c r="C6" s="3"/>
      <c r="D6" s="3"/>
      <c r="E6" s="3"/>
      <c r="F6" s="3"/>
      <c r="G6" s="3"/>
      <c r="H6" s="3"/>
      <c r="I6" s="3"/>
      <c r="J6" s="3"/>
      <c r="K6" s="3"/>
      <c r="L6" s="3"/>
      <c r="M6" s="3"/>
    </row>
    <row r="7" spans="1:13" x14ac:dyDescent="0.4">
      <c r="A7" s="3"/>
      <c r="B7" s="3"/>
      <c r="C7" s="3"/>
      <c r="D7" s="3"/>
      <c r="E7" s="3"/>
      <c r="F7" s="3"/>
      <c r="G7" s="3"/>
      <c r="H7" s="3"/>
      <c r="I7" s="3"/>
      <c r="J7" s="3"/>
      <c r="K7" s="3"/>
      <c r="L7" s="3"/>
      <c r="M7" s="3"/>
    </row>
    <row r="8" spans="1:13" x14ac:dyDescent="0.4">
      <c r="A8" s="3"/>
      <c r="B8" s="3"/>
      <c r="C8" s="3"/>
      <c r="D8" s="3"/>
      <c r="E8" s="3"/>
      <c r="F8" s="3"/>
      <c r="G8" s="3"/>
      <c r="H8" s="3"/>
      <c r="I8" s="3"/>
      <c r="J8" s="3"/>
      <c r="K8" s="3"/>
      <c r="L8" s="3"/>
      <c r="M8" s="3"/>
    </row>
    <row r="9" spans="1:13" x14ac:dyDescent="0.4">
      <c r="A9" s="3"/>
      <c r="B9" s="3"/>
      <c r="C9" s="3"/>
      <c r="D9" s="3"/>
      <c r="E9" s="3"/>
      <c r="F9" s="3"/>
      <c r="G9" s="3"/>
      <c r="H9" s="3"/>
      <c r="I9" s="3"/>
      <c r="J9" s="3"/>
      <c r="K9" s="3"/>
      <c r="L9" s="3"/>
      <c r="M9" s="3"/>
    </row>
    <row r="10" spans="1:13" x14ac:dyDescent="0.4">
      <c r="A10" s="3">
        <f>'Pivot report'!A1</f>
        <v>0</v>
      </c>
      <c r="B10" s="3"/>
      <c r="C10" s="3"/>
      <c r="D10" s="3"/>
      <c r="E10" s="3"/>
      <c r="F10" s="3"/>
      <c r="G10" s="3"/>
      <c r="H10" s="3"/>
      <c r="I10" s="3"/>
      <c r="J10" s="3"/>
      <c r="K10" s="3"/>
      <c r="L10" s="3"/>
      <c r="M10" s="3"/>
    </row>
    <row r="11" spans="1:13" x14ac:dyDescent="0.4">
      <c r="A11" s="3"/>
      <c r="B11" s="3"/>
      <c r="C11" s="3"/>
      <c r="D11" s="3"/>
      <c r="E11" s="3"/>
      <c r="F11" s="3"/>
      <c r="G11" s="3"/>
      <c r="H11" s="3"/>
      <c r="I11" s="3"/>
      <c r="J11" s="3"/>
      <c r="K11" s="3"/>
      <c r="L11" s="3"/>
      <c r="M11" s="3"/>
    </row>
    <row r="12" spans="1:13" x14ac:dyDescent="0.4">
      <c r="A12" s="3"/>
      <c r="B12" s="3"/>
      <c r="C12" s="3"/>
      <c r="D12" s="3"/>
      <c r="E12" s="3"/>
      <c r="F12" s="3"/>
      <c r="G12" s="3"/>
      <c r="H12" s="3"/>
      <c r="I12" s="3"/>
      <c r="J12" s="3"/>
      <c r="K12" s="3"/>
      <c r="L12" s="3"/>
      <c r="M12" s="3"/>
    </row>
    <row r="13" spans="1:13" x14ac:dyDescent="0.4">
      <c r="A13" s="3"/>
      <c r="B13" s="3"/>
      <c r="C13" s="3"/>
      <c r="D13" s="3"/>
      <c r="E13" s="3"/>
      <c r="F13" s="3"/>
      <c r="G13" s="3"/>
      <c r="H13" s="3"/>
      <c r="I13" s="3"/>
      <c r="J13" s="3"/>
      <c r="K13" s="3"/>
      <c r="L13" s="3"/>
      <c r="M13" s="3"/>
    </row>
    <row r="14" spans="1:13" x14ac:dyDescent="0.4">
      <c r="A14" s="3"/>
      <c r="B14" s="3"/>
      <c r="C14" s="3"/>
      <c r="D14" s="3"/>
      <c r="E14" s="3"/>
      <c r="F14" s="3"/>
      <c r="G14" s="3"/>
      <c r="H14" s="3"/>
      <c r="I14" s="3"/>
      <c r="J14" s="3"/>
      <c r="K14" s="3"/>
      <c r="L14" s="3"/>
      <c r="M14" s="3"/>
    </row>
    <row r="15" spans="1:13" x14ac:dyDescent="0.4">
      <c r="A15" s="3"/>
      <c r="B15" s="3"/>
      <c r="C15" s="3"/>
      <c r="D15" s="3"/>
      <c r="E15" s="3"/>
      <c r="F15" s="3"/>
      <c r="G15" s="3"/>
      <c r="H15" s="3"/>
      <c r="I15" s="3"/>
      <c r="J15" s="3"/>
      <c r="K15" s="3"/>
      <c r="L15" s="3"/>
      <c r="M15" s="3"/>
    </row>
    <row r="16" spans="1:13" x14ac:dyDescent="0.4">
      <c r="A16" s="3"/>
      <c r="B16" s="3"/>
      <c r="C16" s="3"/>
      <c r="D16" s="3"/>
      <c r="E16" s="3"/>
      <c r="F16" s="3"/>
      <c r="G16" s="3"/>
      <c r="H16" s="3"/>
      <c r="I16" s="3"/>
      <c r="J16" s="3"/>
      <c r="K16" s="3"/>
      <c r="L16" s="3"/>
      <c r="M16" s="3"/>
    </row>
    <row r="17" spans="1:13" x14ac:dyDescent="0.4">
      <c r="A17" s="3"/>
      <c r="B17" s="3"/>
      <c r="C17" s="3"/>
      <c r="D17" s="3"/>
      <c r="E17" s="3"/>
      <c r="F17" s="3"/>
      <c r="G17" s="3"/>
      <c r="H17" s="3"/>
      <c r="I17" s="3"/>
      <c r="J17" s="3"/>
      <c r="K17" s="3"/>
      <c r="L17" s="3"/>
      <c r="M17" s="3"/>
    </row>
    <row r="18" spans="1:13" x14ac:dyDescent="0.4">
      <c r="A18" s="3"/>
      <c r="B18" s="3"/>
      <c r="C18" s="3"/>
      <c r="D18" s="3"/>
      <c r="E18" s="3"/>
      <c r="F18" s="3"/>
      <c r="G18" s="3"/>
      <c r="H18" s="3"/>
      <c r="I18" s="3"/>
      <c r="J18" s="3"/>
      <c r="K18" s="3"/>
      <c r="L18" s="3"/>
      <c r="M18" s="3"/>
    </row>
    <row r="19" spans="1:13" x14ac:dyDescent="0.4">
      <c r="A19" s="3"/>
      <c r="B19" s="3"/>
      <c r="C19" s="3"/>
      <c r="D19" s="3"/>
      <c r="E19" s="3"/>
      <c r="F19" s="3"/>
      <c r="G19" s="3"/>
      <c r="H19" s="3"/>
      <c r="I19" s="3"/>
      <c r="J19" s="3"/>
      <c r="K19" s="3"/>
      <c r="L19" s="3"/>
      <c r="M19" s="3"/>
    </row>
    <row r="20" spans="1:13" x14ac:dyDescent="0.4">
      <c r="A20" s="3"/>
      <c r="B20" s="3"/>
      <c r="C20" s="3"/>
      <c r="D20" s="3"/>
      <c r="E20" s="3"/>
      <c r="F20" s="3"/>
      <c r="G20" s="3"/>
      <c r="H20" s="3"/>
      <c r="I20" s="3"/>
      <c r="J20" s="3"/>
      <c r="K20" s="3"/>
      <c r="L20" s="3"/>
      <c r="M20" s="3"/>
    </row>
    <row r="21" spans="1:13" x14ac:dyDescent="0.4">
      <c r="A21" s="3"/>
      <c r="B21" s="3"/>
      <c r="C21" s="3"/>
      <c r="D21" s="3"/>
      <c r="E21" s="3"/>
      <c r="F21" s="3"/>
      <c r="G21" s="3"/>
      <c r="H21" s="3"/>
      <c r="I21" s="3"/>
      <c r="J21" s="3"/>
      <c r="K21" s="3"/>
      <c r="L21" s="3"/>
      <c r="M21" s="3"/>
    </row>
    <row r="22" spans="1:13" x14ac:dyDescent="0.4">
      <c r="A22" s="3"/>
      <c r="B22" s="3"/>
      <c r="C22" s="3"/>
      <c r="D22" s="3"/>
      <c r="E22" s="3"/>
      <c r="F22" s="3"/>
      <c r="G22" s="3"/>
      <c r="H22" s="3"/>
      <c r="I22" s="3"/>
      <c r="J22" s="3"/>
      <c r="K22" s="3"/>
      <c r="L22" s="3"/>
      <c r="M22" s="3"/>
    </row>
    <row r="23" spans="1:13" x14ac:dyDescent="0.4">
      <c r="A23" s="3"/>
      <c r="B23" s="3"/>
      <c r="C23" s="3"/>
      <c r="D23" s="3"/>
      <c r="E23" s="3"/>
      <c r="F23" s="3"/>
      <c r="G23" s="3"/>
      <c r="H23" s="3"/>
      <c r="I23" s="3"/>
      <c r="J23" s="3"/>
      <c r="K23" s="3"/>
      <c r="L23" s="3"/>
      <c r="M23" s="3"/>
    </row>
    <row r="24" spans="1:13" x14ac:dyDescent="0.4">
      <c r="A24" s="3"/>
      <c r="B24" s="3"/>
      <c r="C24" s="3"/>
      <c r="D24" s="3"/>
      <c r="E24" s="3"/>
      <c r="F24" s="3"/>
      <c r="G24" s="3"/>
      <c r="H24" s="3"/>
      <c r="I24" s="3"/>
      <c r="J24" s="3"/>
      <c r="K24" s="3"/>
      <c r="L24" s="3"/>
      <c r="M24"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0E63-8E8C-479F-B49B-8497E0C4A007}">
  <dimension ref="A1"/>
  <sheetViews>
    <sheetView workbookViewId="0"/>
  </sheetViews>
  <sheetFormatPr defaultRowHeight="20" x14ac:dyDescent="0.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03273-D0F8-45CF-8697-2CD0E7606A21}">
  <dimension ref="A1"/>
  <sheetViews>
    <sheetView zoomScale="91" workbookViewId="0"/>
  </sheetViews>
  <sheetFormatPr defaultRowHeight="20" x14ac:dyDescent="0.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5AC3D-9273-41D8-BDBE-2A2D0875CDC3}">
  <dimension ref="A1:H15"/>
  <sheetViews>
    <sheetView zoomScale="95" workbookViewId="0"/>
  </sheetViews>
  <sheetFormatPr defaultRowHeight="20" x14ac:dyDescent="0.4"/>
  <sheetData>
    <row r="1" spans="1:8" x14ac:dyDescent="0.4">
      <c r="A1" s="4"/>
      <c r="B1" s="4"/>
      <c r="C1" s="4"/>
      <c r="D1" s="4"/>
      <c r="E1" s="4"/>
      <c r="F1" s="4"/>
      <c r="G1" s="4"/>
      <c r="H1" s="4"/>
    </row>
    <row r="2" spans="1:8" x14ac:dyDescent="0.4">
      <c r="A2" s="4"/>
      <c r="B2" s="4"/>
      <c r="C2" s="4"/>
      <c r="D2" s="4"/>
      <c r="E2" s="4"/>
      <c r="F2" s="4"/>
      <c r="G2" s="4"/>
      <c r="H2" s="4"/>
    </row>
    <row r="3" spans="1:8" x14ac:dyDescent="0.4">
      <c r="A3" s="4"/>
      <c r="B3" s="4"/>
      <c r="C3" s="4"/>
      <c r="D3" s="4"/>
      <c r="E3" s="4"/>
      <c r="F3" s="4"/>
      <c r="G3" s="4"/>
      <c r="H3" s="4"/>
    </row>
    <row r="4" spans="1:8" x14ac:dyDescent="0.4">
      <c r="A4" s="4"/>
      <c r="B4" s="4"/>
      <c r="C4" s="4"/>
      <c r="D4" s="4"/>
      <c r="E4" s="4"/>
      <c r="F4" s="4"/>
      <c r="G4" s="4"/>
      <c r="H4" s="4"/>
    </row>
    <row r="5" spans="1:8" x14ac:dyDescent="0.4">
      <c r="A5" s="4"/>
      <c r="B5" s="4"/>
      <c r="C5" s="4"/>
      <c r="D5" s="4"/>
      <c r="E5" s="4"/>
      <c r="F5" s="4"/>
      <c r="G5" s="4"/>
      <c r="H5" s="4"/>
    </row>
    <row r="6" spans="1:8" x14ac:dyDescent="0.4">
      <c r="A6" s="4"/>
      <c r="B6" s="4"/>
      <c r="C6" s="4"/>
      <c r="D6" s="4"/>
      <c r="E6" s="4"/>
      <c r="F6" s="4"/>
      <c r="G6" s="4"/>
      <c r="H6" s="4"/>
    </row>
    <row r="7" spans="1:8" x14ac:dyDescent="0.4">
      <c r="A7" s="4"/>
      <c r="B7" s="4"/>
      <c r="C7" s="4"/>
      <c r="D7" s="4"/>
      <c r="E7" s="4"/>
      <c r="F7" s="4"/>
      <c r="G7" s="4"/>
      <c r="H7" s="4"/>
    </row>
    <row r="8" spans="1:8" x14ac:dyDescent="0.4">
      <c r="A8" s="4"/>
      <c r="B8" s="4"/>
      <c r="C8" s="4"/>
      <c r="D8" s="4"/>
      <c r="E8" s="4"/>
      <c r="F8" s="4"/>
      <c r="G8" s="4"/>
      <c r="H8" s="4"/>
    </row>
    <row r="9" spans="1:8" x14ac:dyDescent="0.4">
      <c r="A9" s="4"/>
      <c r="B9" s="4"/>
      <c r="C9" s="4"/>
      <c r="D9" s="4"/>
      <c r="E9" s="4"/>
      <c r="F9" s="4"/>
      <c r="G9" s="4"/>
      <c r="H9" s="4"/>
    </row>
    <row r="10" spans="1:8" x14ac:dyDescent="0.4">
      <c r="A10" s="4"/>
      <c r="B10" s="4"/>
      <c r="C10" s="4"/>
      <c r="D10" s="4"/>
      <c r="E10" s="4"/>
      <c r="F10" s="4"/>
      <c r="G10" s="4"/>
      <c r="H10" s="4"/>
    </row>
    <row r="11" spans="1:8" x14ac:dyDescent="0.4">
      <c r="A11" s="4"/>
      <c r="B11" s="4"/>
      <c r="C11" s="4"/>
      <c r="D11" s="4"/>
      <c r="E11" s="4"/>
      <c r="F11" s="4"/>
      <c r="G11" s="4"/>
      <c r="H11" s="4"/>
    </row>
    <row r="12" spans="1:8" x14ac:dyDescent="0.4">
      <c r="A12" s="4"/>
      <c r="B12" s="4"/>
      <c r="C12" s="4"/>
      <c r="D12" s="4"/>
      <c r="E12" s="4"/>
      <c r="F12" s="4"/>
      <c r="G12" s="4"/>
      <c r="H12" s="4"/>
    </row>
    <row r="13" spans="1:8" x14ac:dyDescent="0.4">
      <c r="A13" s="4"/>
      <c r="B13" s="4"/>
      <c r="C13" s="4"/>
      <c r="D13" s="4"/>
      <c r="E13" s="4"/>
      <c r="F13" s="4"/>
      <c r="G13" s="4"/>
      <c r="H13" s="4"/>
    </row>
    <row r="14" spans="1:8" x14ac:dyDescent="0.4">
      <c r="A14" s="4"/>
      <c r="B14" s="4"/>
      <c r="C14" s="4"/>
      <c r="D14" s="4"/>
      <c r="E14" s="4"/>
      <c r="F14" s="4"/>
      <c r="G14" s="4"/>
      <c r="H14" s="4"/>
    </row>
    <row r="15" spans="1:8" x14ac:dyDescent="0.4">
      <c r="A15" s="4"/>
      <c r="B15" s="4"/>
      <c r="C15" s="4"/>
      <c r="D15" s="4"/>
      <c r="E15" s="4"/>
      <c r="F15" s="4"/>
      <c r="G15" s="4"/>
      <c r="H15"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A04A026-C3E1-4BF2-9305-8D3C1E683CC8}">
  <ds:schemaRefs/>
</ds:datastoreItem>
</file>

<file path=customXml/itemProps2.xml><?xml version="1.0" encoding="utf-8"?>
<ds:datastoreItem xmlns:ds="http://schemas.openxmlformats.org/officeDocument/2006/customXml" ds:itemID="{A75761CD-B143-41D6-BC93-8AEE157A53BF}">
  <ds:schemaRefs/>
</ds:datastoreItem>
</file>

<file path=customXml/itemProps3.xml><?xml version="1.0" encoding="utf-8"?>
<ds:datastoreItem xmlns:ds="http://schemas.openxmlformats.org/officeDocument/2006/customXml" ds:itemID="{3B31E449-C99D-41EA-ABD1-2B2A44E5E15D}">
  <ds:schemaRefs/>
</ds:datastoreItem>
</file>

<file path=customXml/itemProps4.xml><?xml version="1.0" encoding="utf-8"?>
<ds:datastoreItem xmlns:ds="http://schemas.openxmlformats.org/officeDocument/2006/customXml" ds:itemID="{E36B5286-29BF-45A5-B6EC-4AA85CA3C6F1}">
  <ds:schemaRefs/>
</ds:datastoreItem>
</file>

<file path=customXml/itemProps5.xml><?xml version="1.0" encoding="utf-8"?>
<ds:datastoreItem xmlns:ds="http://schemas.openxmlformats.org/officeDocument/2006/customXml" ds:itemID="{4AF1E84B-0AC6-40AA-A1C4-8F8222B0D09E}">
  <ds:schemaRefs/>
</ds:datastoreItem>
</file>

<file path=customXml/itemProps6.xml><?xml version="1.0" encoding="utf-8"?>
<ds:datastoreItem xmlns:ds="http://schemas.openxmlformats.org/officeDocument/2006/customXml" ds:itemID="{1922D5FB-F77E-4338-AE57-51D428937030}">
  <ds:schemaRefs/>
</ds:datastoreItem>
</file>

<file path=customXml/itemProps7.xml><?xml version="1.0" encoding="utf-8"?>
<ds:datastoreItem xmlns:ds="http://schemas.openxmlformats.org/officeDocument/2006/customXml" ds:itemID="{74396C64-4693-4B22-8207-A2C1F444B764}">
  <ds:schemaRefs/>
</ds:datastoreItem>
</file>

<file path=customXml/itemProps8.xml><?xml version="1.0" encoding="utf-8"?>
<ds:datastoreItem xmlns:ds="http://schemas.openxmlformats.org/officeDocument/2006/customXml" ds:itemID="{4E8A6104-86E5-4F8A-9B7A-70C30868C9CC}">
  <ds:schemaRefs/>
</ds:datastoreItem>
</file>

<file path=customXml/itemProps9.xml><?xml version="1.0" encoding="utf-8"?>
<ds:datastoreItem xmlns:ds="http://schemas.openxmlformats.org/officeDocument/2006/customXml" ds:itemID="{E0F5036D-1A60-4D46-9E27-2D0BD70D8EED}">
  <ds:schemaRefs/>
</ds:datastoreItem>
</file>

<file path=customXml/itemProps10.xml><?xml version="1.0" encoding="utf-8"?>
<ds:datastoreItem xmlns:ds="http://schemas.openxmlformats.org/officeDocument/2006/customXml" ds:itemID="{932C8222-0CA4-40FF-89EB-0172F45ED2D5}">
  <ds:schemaRefs/>
</ds:datastoreItem>
</file>

<file path=customXml/itemProps11.xml><?xml version="1.0" encoding="utf-8"?>
<ds:datastoreItem xmlns:ds="http://schemas.openxmlformats.org/officeDocument/2006/customXml" ds:itemID="{DACF1FA4-B472-452F-A0E7-C43259AFEEEC}">
  <ds:schemaRefs/>
</ds:datastoreItem>
</file>

<file path=customXml/itemProps12.xml><?xml version="1.0" encoding="utf-8"?>
<ds:datastoreItem xmlns:ds="http://schemas.openxmlformats.org/officeDocument/2006/customXml" ds:itemID="{BC9B525D-98F9-4CFA-A67A-6068954CE806}">
  <ds:schemaRefs/>
</ds:datastoreItem>
</file>

<file path=customXml/itemProps13.xml><?xml version="1.0" encoding="utf-8"?>
<ds:datastoreItem xmlns:ds="http://schemas.openxmlformats.org/officeDocument/2006/customXml" ds:itemID="{B501520E-6C96-4572-A263-FB66B46570AE}">
  <ds:schemaRefs/>
</ds:datastoreItem>
</file>

<file path=customXml/itemProps14.xml><?xml version="1.0" encoding="utf-8"?>
<ds:datastoreItem xmlns:ds="http://schemas.openxmlformats.org/officeDocument/2006/customXml" ds:itemID="{DB850B83-B777-4A0C-83C8-C23F631BB673}">
  <ds:schemaRefs>
    <ds:schemaRef ds:uri="http://schemas.microsoft.com/DataMashup"/>
  </ds:schemaRefs>
</ds:datastoreItem>
</file>

<file path=customXml/itemProps15.xml><?xml version="1.0" encoding="utf-8"?>
<ds:datastoreItem xmlns:ds="http://schemas.openxmlformats.org/officeDocument/2006/customXml" ds:itemID="{C0FE931B-2644-48F9-877D-932926062ED9}">
  <ds:schemaRefs/>
</ds:datastoreItem>
</file>

<file path=customXml/itemProps16.xml><?xml version="1.0" encoding="utf-8"?>
<ds:datastoreItem xmlns:ds="http://schemas.openxmlformats.org/officeDocument/2006/customXml" ds:itemID="{6E926411-D972-4B31-B753-68C38461DA3A}">
  <ds:schemaRefs/>
</ds:datastoreItem>
</file>

<file path=customXml/itemProps17.xml><?xml version="1.0" encoding="utf-8"?>
<ds:datastoreItem xmlns:ds="http://schemas.openxmlformats.org/officeDocument/2006/customXml" ds:itemID="{6384A0C4-99F7-4992-BA92-D3ECC2A96D93}">
  <ds:schemaRefs/>
</ds:datastoreItem>
</file>

<file path=customXml/itemProps18.xml><?xml version="1.0" encoding="utf-8"?>
<ds:datastoreItem xmlns:ds="http://schemas.openxmlformats.org/officeDocument/2006/customXml" ds:itemID="{750E1137-5667-4B08-89C7-D4C2D6C883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satisfaction score of daily tre</vt:lpstr>
      <vt:lpstr>Avg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chahatkashyap006@gmail.com</dc:creator>
  <cp:lastModifiedBy>chahatkashyap006@gmail.com</cp:lastModifiedBy>
  <dcterms:created xsi:type="dcterms:W3CDTF">2026-04-05T14:22:59Z</dcterms:created>
  <dcterms:modified xsi:type="dcterms:W3CDTF">2026-04-09T13:57:41Z</dcterms:modified>
</cp:coreProperties>
</file>